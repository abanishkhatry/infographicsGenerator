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dc.gov\private\M303\PTA1\4.X-OPIOID-LAB VAL\OD2A Validations 01-31-25-FINAL\"/>
    </mc:Choice>
  </mc:AlternateContent>
  <xr:revisionPtr revIDLastSave="0" documentId="13_ncr:1_{03781F0E-43E8-4CCD-819A-0E1A2B231CEE}" xr6:coauthVersionLast="47" xr6:coauthVersionMax="47" xr10:uidLastSave="{00000000-0000-0000-0000-000000000000}"/>
  <bookViews>
    <workbookView xWindow="1200" yWindow="0" windowWidth="22190" windowHeight="15620" tabRatio="934" firstSheet="2" activeTab="3" xr2:uid="{00000000-000D-0000-FFFF-FFFF00000000}"/>
  </bookViews>
  <sheets>
    <sheet name="Old Version Log" sheetId="25" state="hidden" r:id="rId1"/>
    <sheet name="What's New-Version Log" sheetId="28" r:id="rId2"/>
    <sheet name="Reportable Data Fields" sheetId="60" r:id="rId3"/>
    <sheet name="Benzodiazepines" sheetId="13" r:id="rId4"/>
    <sheet name="Cannabinoids" sheetId="70" r:id="rId5"/>
    <sheet name="Novel Stimulants&amp;Hallucinogens" sheetId="67" r:id="rId6"/>
    <sheet name="Opioids" sheetId="68" r:id="rId7"/>
    <sheet name="OtherSubstances" sheetId="66" r:id="rId8"/>
    <sheet name="Stimulants" sheetId="69" r:id="rId9"/>
    <sheet name="ActivityType_OBR-31" sheetId="39" r:id="rId10"/>
    <sheet name="Class_OBR-4.1" sheetId="40" r:id="rId11"/>
    <sheet name="SpeSub(RelMet)-OBX-3.1" sheetId="41" r:id="rId12"/>
    <sheet name="SampleResults-OBX-5.1" sheetId="42" r:id="rId13"/>
    <sheet name="SampleMatrix-SPM-4.1" sheetId="43" r:id="rId14"/>
    <sheet name="InstrumentType-OBX-17.1" sheetId="49" r:id="rId15"/>
    <sheet name="PatientRace_PID-10" sheetId="51" r:id="rId16"/>
    <sheet name="PatientEthnicity_PID-22" sheetId="52" r:id="rId17"/>
    <sheet name="PatientAge_OBX-5" sheetId="56" r:id="rId18"/>
    <sheet name="AgeUnit_OBX-6" sheetId="57" r:id="rId19"/>
    <sheet name="EPI_Data" sheetId="59" r:id="rId20"/>
  </sheets>
  <definedNames>
    <definedName name="IdentifierType_CDC" localSheetId="18">#REF!</definedName>
    <definedName name="IdentifierType_CDC" localSheetId="17">#REF!</definedName>
    <definedName name="IdentifierType_CDC" localSheetId="2">#REF!</definedName>
    <definedName name="IdentifierType_CDC">#REF!</definedName>
    <definedName name="_xlnm.Print_Titles" localSheetId="3">Benzodiazepines!#REF!</definedName>
    <definedName name="_xlnm.Print_Titles" localSheetId="4">Cannabinoids!#REF!</definedName>
    <definedName name="_xlnm.Print_Titles" localSheetId="5">'Novel Stimulants&amp;Hallucinogens'!#REF!</definedName>
    <definedName name="_xlnm.Print_Titles" localSheetId="6">Opioids!#REF!</definedName>
    <definedName name="_xlnm.Print_Titles" localSheetId="7">OtherSubstances!#REF!</definedName>
    <definedName name="_xlnm.Print_Titles" localSheetId="8">Stimulants!#REF!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68" l="1"/>
  <c r="G56" i="68"/>
  <c r="H56" i="68"/>
  <c r="I56" i="68"/>
  <c r="I30" i="69"/>
  <c r="H30" i="69"/>
  <c r="G30" i="69"/>
  <c r="F30" i="69"/>
  <c r="E30" i="69"/>
  <c r="D30" i="69"/>
  <c r="C30" i="69"/>
  <c r="B30" i="69"/>
  <c r="I28" i="69"/>
  <c r="H28" i="69"/>
  <c r="G28" i="69"/>
  <c r="F28" i="69"/>
  <c r="I17" i="69"/>
  <c r="H17" i="69"/>
  <c r="G17" i="69"/>
  <c r="F17" i="69"/>
  <c r="E17" i="69"/>
  <c r="D17" i="69"/>
  <c r="C17" i="69"/>
  <c r="B17" i="69"/>
  <c r="I15" i="69"/>
  <c r="H15" i="69"/>
  <c r="G15" i="69"/>
  <c r="F15" i="69"/>
  <c r="I14" i="66"/>
  <c r="H14" i="66"/>
  <c r="G14" i="66"/>
  <c r="F14" i="66"/>
  <c r="E14" i="66"/>
  <c r="D14" i="66"/>
  <c r="C14" i="66"/>
  <c r="B14" i="66"/>
  <c r="I12" i="66"/>
  <c r="H12" i="66"/>
  <c r="G12" i="66"/>
  <c r="F12" i="66"/>
  <c r="I58" i="68"/>
  <c r="H58" i="68"/>
  <c r="G58" i="68"/>
  <c r="F58" i="68"/>
  <c r="E58" i="68"/>
  <c r="D58" i="68"/>
  <c r="C58" i="68"/>
  <c r="B58" i="68"/>
  <c r="I40" i="68"/>
  <c r="H40" i="68"/>
  <c r="G40" i="68"/>
  <c r="F40" i="68"/>
  <c r="E40" i="68"/>
  <c r="D40" i="68"/>
  <c r="C40" i="68"/>
  <c r="B40" i="68"/>
  <c r="I38" i="68"/>
  <c r="H38" i="68"/>
  <c r="G38" i="68"/>
  <c r="F38" i="68"/>
  <c r="I21" i="67"/>
  <c r="H21" i="67"/>
  <c r="G21" i="67"/>
  <c r="F21" i="67"/>
  <c r="E21" i="67"/>
  <c r="D21" i="67"/>
  <c r="C21" i="67"/>
  <c r="B21" i="67"/>
  <c r="I19" i="67"/>
  <c r="H19" i="67"/>
  <c r="G19" i="67"/>
  <c r="F19" i="67"/>
  <c r="I23" i="70"/>
  <c r="H23" i="70"/>
  <c r="G23" i="70"/>
  <c r="F23" i="70"/>
  <c r="E23" i="70"/>
  <c r="D23" i="70"/>
  <c r="C23" i="70"/>
  <c r="B23" i="70"/>
  <c r="I21" i="70"/>
  <c r="H21" i="70"/>
  <c r="G21" i="70"/>
  <c r="F21" i="70"/>
  <c r="B25" i="13"/>
  <c r="I47" i="68" l="1"/>
  <c r="H47" i="68"/>
  <c r="G47" i="68"/>
  <c r="F47" i="68"/>
  <c r="E47" i="68"/>
  <c r="D47" i="68"/>
  <c r="C47" i="68"/>
  <c r="B47" i="68"/>
  <c r="I44" i="68"/>
  <c r="H44" i="68"/>
  <c r="G44" i="68"/>
  <c r="F44" i="68"/>
  <c r="E44" i="68"/>
  <c r="D44" i="68"/>
  <c r="C44" i="68"/>
  <c r="B44" i="68"/>
  <c r="I24" i="69"/>
  <c r="H24" i="69"/>
  <c r="G24" i="69"/>
  <c r="F24" i="69"/>
  <c r="E24" i="69"/>
  <c r="D24" i="69"/>
  <c r="C24" i="69"/>
  <c r="B24" i="69"/>
  <c r="I21" i="69"/>
  <c r="H21" i="69"/>
  <c r="G21" i="69"/>
  <c r="F21" i="69"/>
  <c r="E21" i="69"/>
  <c r="D21" i="69"/>
  <c r="C21" i="69"/>
  <c r="B21" i="69"/>
  <c r="I9" i="70"/>
  <c r="H9" i="70"/>
  <c r="G9" i="70"/>
  <c r="F9" i="70"/>
  <c r="E9" i="70"/>
  <c r="D9" i="70"/>
  <c r="C9" i="70"/>
  <c r="B9" i="70"/>
  <c r="I6" i="70"/>
  <c r="H6" i="70"/>
  <c r="G6" i="70"/>
  <c r="F6" i="70"/>
  <c r="E6" i="70"/>
  <c r="D6" i="70"/>
  <c r="C6" i="70"/>
  <c r="B6" i="70"/>
  <c r="I9" i="69"/>
  <c r="H9" i="69"/>
  <c r="G9" i="69"/>
  <c r="F9" i="69"/>
  <c r="E9" i="69"/>
  <c r="D9" i="69"/>
  <c r="C9" i="69"/>
  <c r="B9" i="69"/>
  <c r="I6" i="69"/>
  <c r="H6" i="69"/>
  <c r="G6" i="69"/>
  <c r="F6" i="69"/>
  <c r="E6" i="69"/>
  <c r="D6" i="69"/>
  <c r="C6" i="69"/>
  <c r="B6" i="69"/>
  <c r="I9" i="68"/>
  <c r="H9" i="68"/>
  <c r="G9" i="68"/>
  <c r="F9" i="68"/>
  <c r="E9" i="68"/>
  <c r="D9" i="68"/>
  <c r="C9" i="68"/>
  <c r="B9" i="68"/>
  <c r="I6" i="68"/>
  <c r="H6" i="68"/>
  <c r="G6" i="68"/>
  <c r="F6" i="68"/>
  <c r="E6" i="68"/>
  <c r="D6" i="68"/>
  <c r="C6" i="68"/>
  <c r="B6" i="68"/>
  <c r="I9" i="67"/>
  <c r="H9" i="67"/>
  <c r="G9" i="67"/>
  <c r="F9" i="67"/>
  <c r="E9" i="67"/>
  <c r="D9" i="67"/>
  <c r="C9" i="67"/>
  <c r="B9" i="67"/>
  <c r="I6" i="67"/>
  <c r="H6" i="67"/>
  <c r="G6" i="67"/>
  <c r="F6" i="67"/>
  <c r="E6" i="67"/>
  <c r="D6" i="67"/>
  <c r="C6" i="67"/>
  <c r="B6" i="67"/>
  <c r="I9" i="66"/>
  <c r="H9" i="66"/>
  <c r="G9" i="66"/>
  <c r="F9" i="66"/>
  <c r="E9" i="66"/>
  <c r="D9" i="66"/>
  <c r="C9" i="66"/>
  <c r="B9" i="66"/>
  <c r="I6" i="66"/>
  <c r="H6" i="66"/>
  <c r="G6" i="66"/>
  <c r="F6" i="66"/>
  <c r="E6" i="66"/>
  <c r="D6" i="66"/>
  <c r="C6" i="66"/>
  <c r="B6" i="66"/>
  <c r="I35" i="13"/>
  <c r="H35" i="13"/>
  <c r="G35" i="13"/>
  <c r="F35" i="13"/>
  <c r="E35" i="13"/>
  <c r="D35" i="13"/>
  <c r="C35" i="13"/>
  <c r="B35" i="13"/>
  <c r="I33" i="13"/>
  <c r="H33" i="13"/>
  <c r="G33" i="13"/>
  <c r="F33" i="13"/>
  <c r="B20" i="13" l="1"/>
  <c r="C20" i="13"/>
  <c r="D20" i="13"/>
  <c r="E20" i="13"/>
  <c r="F20" i="13"/>
  <c r="G20" i="13"/>
  <c r="H20" i="13"/>
  <c r="I20" i="13"/>
  <c r="I28" i="13"/>
  <c r="H28" i="13"/>
  <c r="G28" i="13"/>
  <c r="F28" i="13"/>
  <c r="E28" i="13"/>
  <c r="D28" i="13"/>
  <c r="C28" i="13"/>
  <c r="B28" i="13"/>
  <c r="I25" i="13"/>
  <c r="H25" i="13"/>
  <c r="G25" i="13"/>
  <c r="F25" i="13"/>
  <c r="E25" i="13"/>
  <c r="D25" i="13"/>
  <c r="C25" i="13"/>
  <c r="I8" i="13" l="1"/>
  <c r="I18" i="13" l="1"/>
  <c r="H18" i="13"/>
  <c r="H8" i="13"/>
  <c r="I5" i="13"/>
  <c r="H5" i="13"/>
  <c r="G5" i="13" l="1"/>
  <c r="F5" i="13"/>
  <c r="E5" i="13"/>
  <c r="D5" i="13"/>
  <c r="C5" i="13"/>
  <c r="B5" i="13"/>
  <c r="F18" i="13" l="1"/>
  <c r="G18" i="13"/>
  <c r="B8" i="13"/>
  <c r="C8" i="13"/>
  <c r="D8" i="13"/>
  <c r="E8" i="13"/>
  <c r="F8" i="13"/>
  <c r="G8" i="13"/>
</calcChain>
</file>

<file path=xl/sharedStrings.xml><?xml version="1.0" encoding="utf-8"?>
<sst xmlns="http://schemas.openxmlformats.org/spreadsheetml/2006/main" count="1895" uniqueCount="397">
  <si>
    <t>applied Version</t>
  </si>
  <si>
    <t>CR Number</t>
  </si>
  <si>
    <t>Jira #</t>
  </si>
  <si>
    <t>Value Set Name</t>
  </si>
  <si>
    <t>Comments (Changes made)</t>
  </si>
  <si>
    <t>Date</t>
  </si>
  <si>
    <t>Author</t>
  </si>
  <si>
    <t>Sensitive But Unclassified Information: 
This document contains information that requires protection from unauthorized disclosure, special handling safeguards, or prescribed limits on exchange or dissemination. Approval by the Centers for Disease Control and Prevention Document Control Officer, Office of Security and Emergency Preparedness, and the CDC FOIA Officer, prior to public release via the FOIA Office is required.
Specified Dissemination required to prevent inadvertent or unauthorized disclosure” to require more stringent safeguarding measures than those normally required since the inadvertent or unauthorized disclosure would risk substantial harm and provide additional instructions on what dissemination is permitted. 
Do not distribute or share without expressed written permission from the CDC LRN Program</t>
  </si>
  <si>
    <t>Worksheet Name</t>
  </si>
  <si>
    <t>ALL</t>
  </si>
  <si>
    <t>Initial Release for Opioid Standard Testing for Biosurveillance</t>
  </si>
  <si>
    <t>Data Integration Team</t>
  </si>
  <si>
    <t>Updating Concept codes with LRNT codes</t>
  </si>
  <si>
    <t>Data Element</t>
  </si>
  <si>
    <t xml:space="preserve">Mapping </t>
  </si>
  <si>
    <t>Optionality</t>
  </si>
  <si>
    <t>Testing Facility</t>
  </si>
  <si>
    <t>OBX-23</t>
  </si>
  <si>
    <t>R</t>
  </si>
  <si>
    <t>Batch Data</t>
  </si>
  <si>
    <t>Batch ID</t>
  </si>
  <si>
    <t>OBR-3</t>
  </si>
  <si>
    <t>Test Name</t>
  </si>
  <si>
    <t>OBR-4</t>
  </si>
  <si>
    <t>Activity Type</t>
  </si>
  <si>
    <t>OBR-31</t>
  </si>
  <si>
    <t>Sample Matrix</t>
  </si>
  <si>
    <t>SPM-4</t>
  </si>
  <si>
    <t>Event Name</t>
  </si>
  <si>
    <t>CTI-1</t>
  </si>
  <si>
    <t>C</t>
  </si>
  <si>
    <t>Instrument Type</t>
  </si>
  <si>
    <t>OBX-17</t>
  </si>
  <si>
    <t>Batch Description</t>
  </si>
  <si>
    <t>NTE after OBR</t>
  </si>
  <si>
    <t>O</t>
  </si>
  <si>
    <t>Analyte</t>
  </si>
  <si>
    <t>OBX-3</t>
  </si>
  <si>
    <t>Date/Time of Report</t>
  </si>
  <si>
    <t>OBR-22</t>
  </si>
  <si>
    <t>Sample/Test Data</t>
  </si>
  <si>
    <t>Tester ID</t>
  </si>
  <si>
    <t>SPM-2.2</t>
  </si>
  <si>
    <t>Requestor ID</t>
  </si>
  <si>
    <t>SPM-2.1</t>
  </si>
  <si>
    <t>Requestor Name</t>
  </si>
  <si>
    <t>ORC-21.1</t>
  </si>
  <si>
    <t>Unit of Measure</t>
  </si>
  <si>
    <t>OBX-6</t>
  </si>
  <si>
    <t>Analyte Result</t>
  </si>
  <si>
    <t>OBX-5</t>
  </si>
  <si>
    <t>Sample Comment</t>
  </si>
  <si>
    <t>SPM-14</t>
  </si>
  <si>
    <t>Patient</t>
  </si>
  <si>
    <t>Patient/Source Identifier*</t>
  </si>
  <si>
    <t>PID-3</t>
  </si>
  <si>
    <t>Additional Patient ID</t>
  </si>
  <si>
    <t>Patient Name (Last/Surname)</t>
  </si>
  <si>
    <t>PID-5.1</t>
  </si>
  <si>
    <t>Patient Name (Middle)</t>
  </si>
  <si>
    <t>PID-5.3</t>
  </si>
  <si>
    <t>Patient Name (First)</t>
  </si>
  <si>
    <t>PID-5.2</t>
  </si>
  <si>
    <t>Patient Name (Suffix)</t>
  </si>
  <si>
    <t>PID-5.4</t>
  </si>
  <si>
    <t>Patient Address (Street Number)</t>
  </si>
  <si>
    <t>PID-11.1</t>
  </si>
  <si>
    <t>Patient Address (City)</t>
  </si>
  <si>
    <t>PID-11.3</t>
  </si>
  <si>
    <t>Patient Address (State)</t>
  </si>
  <si>
    <t>PID-11.4</t>
  </si>
  <si>
    <t>Patient Address (Zip Code)</t>
  </si>
  <si>
    <t>PID-11.5</t>
  </si>
  <si>
    <t>RE</t>
  </si>
  <si>
    <t xml:space="preserve">Patient County </t>
  </si>
  <si>
    <t>PID-11.9</t>
  </si>
  <si>
    <t>Comments/Description/Details</t>
  </si>
  <si>
    <t>Patient Date of Birth</t>
  </si>
  <si>
    <t>PID-7</t>
  </si>
  <si>
    <t>Patient Age</t>
  </si>
  <si>
    <t>C(RE/X)</t>
  </si>
  <si>
    <t>Age Unit</t>
  </si>
  <si>
    <t>PID-8</t>
  </si>
  <si>
    <t>Patient Race</t>
  </si>
  <si>
    <t>PID-10</t>
  </si>
  <si>
    <t>Patient Ethnicity</t>
  </si>
  <si>
    <t>PID-22</t>
  </si>
  <si>
    <t>Epidemiologically Important Information (EPI)</t>
  </si>
  <si>
    <t>Data Field</t>
  </si>
  <si>
    <t>Concept Name</t>
  </si>
  <si>
    <t>Display Term in RV</t>
  </si>
  <si>
    <t>Standard Code In Message</t>
  </si>
  <si>
    <t>Standard Name in Message</t>
  </si>
  <si>
    <t>Code System</t>
  </si>
  <si>
    <t>Code System OID</t>
  </si>
  <si>
    <t>HL70396 value</t>
  </si>
  <si>
    <t>Notes</t>
  </si>
  <si>
    <t>For reference only - looked up in application</t>
  </si>
  <si>
    <t>Display name in code library file</t>
  </si>
  <si>
    <t>Concept Code used in the HL7 Standard Code In Message</t>
  </si>
  <si>
    <t>Note: Name Taken From The Standard (CAS, SNOMED, LOCAL)</t>
  </si>
  <si>
    <t>Name of external code system - not in message</t>
  </si>
  <si>
    <t>Used to identify the code system in HL7 message in CWE.14</t>
  </si>
  <si>
    <t>Used to identify the code system in HL7 message in CWE.3</t>
  </si>
  <si>
    <t>Provides additional information for implementers</t>
  </si>
  <si>
    <t>Tier 1</t>
  </si>
  <si>
    <t>Class</t>
  </si>
  <si>
    <t>Benzodiazepines</t>
  </si>
  <si>
    <t>CT_BENZ</t>
  </si>
  <si>
    <t>PH_LRNT</t>
  </si>
  <si>
    <t>2.16.840.1.114222.4.5.309</t>
  </si>
  <si>
    <t>99CT</t>
  </si>
  <si>
    <t>Specific Substance (Relevant Metabolite)</t>
  </si>
  <si>
    <t>Alprazolam [Presence] in Specimen</t>
  </si>
  <si>
    <t>61038-6</t>
  </si>
  <si>
    <t>LOINC</t>
  </si>
  <si>
    <t>2.16.840.1.113883.6.1</t>
  </si>
  <si>
    <t>LN</t>
  </si>
  <si>
    <t>6-Alpha-Hydroxyalprazolam [Presence] in Specimen</t>
  </si>
  <si>
    <t>LRNT144</t>
  </si>
  <si>
    <t>Clonazepam [Presence] in Specimen</t>
  </si>
  <si>
    <t>61039-4</t>
  </si>
  <si>
    <t>7-Aminoclonazepam [Presence] in Specimen</t>
  </si>
  <si>
    <t>61031-1</t>
  </si>
  <si>
    <t>Diazepam [Presence] in Specimen</t>
  </si>
  <si>
    <t>61074-1</t>
  </si>
  <si>
    <t>Nordiazepam [Presence] in Specimen</t>
  </si>
  <si>
    <t>61051-9</t>
  </si>
  <si>
    <t>Oxazepam [Presence] in Specimen</t>
  </si>
  <si>
    <t>61055-0</t>
  </si>
  <si>
    <t>Temazepam [Presence] in Specimen</t>
  </si>
  <si>
    <t>61061-8</t>
  </si>
  <si>
    <t>Lorazepam [Presence] in Specimen</t>
  </si>
  <si>
    <t>61044-4</t>
  </si>
  <si>
    <r>
      <t xml:space="preserve">                                                   </t>
    </r>
    <r>
      <rPr>
        <b/>
        <sz val="11"/>
        <color rgb="FFFF0000"/>
        <rFont val="Arial"/>
        <family val="2"/>
      </rPr>
      <t xml:space="preserve"> Please see SampleMatrix-SPM-4.1 tab for applicable list.</t>
    </r>
    <r>
      <rPr>
        <b/>
        <sz val="11"/>
        <rFont val="Arial"/>
        <family val="2"/>
      </rPr>
      <t xml:space="preserve"> </t>
    </r>
  </si>
  <si>
    <r>
      <t xml:space="preserve">                                                   </t>
    </r>
    <r>
      <rPr>
        <b/>
        <sz val="11"/>
        <color rgb="FFFF0000"/>
        <rFont val="Arial"/>
        <family val="2"/>
      </rPr>
      <t xml:space="preserve"> Please see InstrumentType-OBX17.1 tab for applicable list.</t>
    </r>
    <r>
      <rPr>
        <b/>
        <sz val="11"/>
        <rFont val="Arial"/>
        <family val="2"/>
      </rPr>
      <t xml:space="preserve"> </t>
    </r>
  </si>
  <si>
    <t>Tier 2</t>
  </si>
  <si>
    <t>Clonazolam [Presence] in Specimen</t>
  </si>
  <si>
    <t>LRNT145</t>
  </si>
  <si>
    <t>Etizolam [Presence] in Specimen</t>
  </si>
  <si>
    <t>LRNT146</t>
  </si>
  <si>
    <t>Flualprazolam [Presence] in Specimen </t>
  </si>
  <si>
    <t>LRNT147</t>
  </si>
  <si>
    <t>Flubromazolam [Presence] in Specimen</t>
  </si>
  <si>
    <t>LRNT148</t>
  </si>
  <si>
    <t>Optional</t>
  </si>
  <si>
    <t>Cannabinoids</t>
  </si>
  <si>
    <t>CT_CANB</t>
  </si>
  <si>
    <t xml:space="preserve"> Delta-9 Tetrahydrocannabinol [Presence] in Specimen</t>
  </si>
  <si>
    <t>LRNT149</t>
  </si>
  <si>
    <t>11-Hydroxy Delta-9 Tetrahydrocannabinol [Presence] in Specimen</t>
  </si>
  <si>
    <t>48935-1</t>
  </si>
  <si>
    <t>Delta-9 Carboxy Tetrahydrocannabinol [Presence] in Specimen</t>
  </si>
  <si>
    <t>61063-4</t>
  </si>
  <si>
    <t>Delta-8 Tetrahydrocannabinol [Presence] in Specimen</t>
  </si>
  <si>
    <t>LRNT150</t>
  </si>
  <si>
    <t>11-Hydroxy Delta-8 Tetrahydrocannabinol [Presence] in Specimen</t>
  </si>
  <si>
    <t>LRNT151</t>
  </si>
  <si>
    <t>Delta-8 Carboxy Tetrahydrocannabinol [Presence] in Specimen</t>
  </si>
  <si>
    <t>LRNT152</t>
  </si>
  <si>
    <t>Delta-10 Tetrahydrocannabinol [Presence] in Specimen</t>
  </si>
  <si>
    <t>LRNT153</t>
  </si>
  <si>
    <t>11-Hydroxy Delta-10 Tetrahydrocannabinol [Presence] in Specimen</t>
  </si>
  <si>
    <t>LRNT154</t>
  </si>
  <si>
    <t>Delta-10 Carboxy Tetrahydrocannabinol [Presence] in Specimen</t>
  </si>
  <si>
    <t>LRNT155</t>
  </si>
  <si>
    <t>Delta-9 Tetrahydrocannabinol-O-Acetate [Presence] in Specimen</t>
  </si>
  <si>
    <t>LRNT156</t>
  </si>
  <si>
    <t>THCP (Tetrahydrocannabiphorol Isomers) [Presence] in Specimen</t>
  </si>
  <si>
    <t>LRNT157</t>
  </si>
  <si>
    <t>Novel Stimulants/Hallucinogens</t>
  </si>
  <si>
    <t>CT_NSHA</t>
  </si>
  <si>
    <t>2F-Deschloroketamine [Presence] in Specimen</t>
  </si>
  <si>
    <t>LRNT158</t>
  </si>
  <si>
    <t>3-Hydroxyphencyclidine-Phencyclidine [Presence] in Specimen</t>
  </si>
  <si>
    <t>LRNT159</t>
  </si>
  <si>
    <t>4-Hydroxyphencyclidine-Phencyclidine [Presence] in Specimen</t>
  </si>
  <si>
    <t>LRNT160</t>
  </si>
  <si>
    <t>Alpha-Pyrrolidinohexiophenone [Presence] in Specimen</t>
  </si>
  <si>
    <t>LRNT161</t>
  </si>
  <si>
    <t>Alpha-Pyrrolidinoisohexanophenone [Presence] in Specimen</t>
  </si>
  <si>
    <t>LRNT162</t>
  </si>
  <si>
    <t>Eutylone [Presence] in Specimen </t>
  </si>
  <si>
    <t>LRNT163</t>
  </si>
  <si>
    <t>N,N-Dimethyl Pentylone [Presence] in Specimen </t>
  </si>
  <si>
    <t>LRNT164</t>
  </si>
  <si>
    <t>Opioids</t>
  </si>
  <si>
    <t>CT_OPID</t>
  </si>
  <si>
    <t>Fentanyl [Presence] in Specimen</t>
  </si>
  <si>
    <t>61042-8</t>
  </si>
  <si>
    <t>Norfentanyl [Presence] in Specimen</t>
  </si>
  <si>
    <t>61053-5</t>
  </si>
  <si>
    <t>Codeine [Presence] in Specimen</t>
  </si>
  <si>
    <t>40626-4</t>
  </si>
  <si>
    <t>Codeine-6β-D-Glucuronide [Presence] in Specimen</t>
  </si>
  <si>
    <t>LRNT165</t>
  </si>
  <si>
    <t>Hydrocodone [Presence] in Specimen</t>
  </si>
  <si>
    <t>32080-4</t>
  </si>
  <si>
    <t>Norhydrocodone [Presence] in Specimen</t>
  </si>
  <si>
    <t>LRNT166</t>
  </si>
  <si>
    <t>Hydromorphone [Presence] in Specimen</t>
  </si>
  <si>
    <t>32081-2</t>
  </si>
  <si>
    <t>Morphine [Presence] in Specimen</t>
  </si>
  <si>
    <t>32100-0</t>
  </si>
  <si>
    <t>Morphine-3β-D-Glucuronide [Presence] in Specimen</t>
  </si>
  <si>
    <t>LRNT167</t>
  </si>
  <si>
    <t>Morphine-6β-D-glucuronide [Presence] in Specimen</t>
  </si>
  <si>
    <t>LRNT168</t>
  </si>
  <si>
    <t>Oxycodone [Presence] in Specimen</t>
  </si>
  <si>
    <t>32101-8</t>
  </si>
  <si>
    <t>Noroxycodone [Presence] in Specimen</t>
  </si>
  <si>
    <t>LRNT169</t>
  </si>
  <si>
    <t>Oxymorphone [Presence] in Specimen</t>
  </si>
  <si>
    <t>LRNT170</t>
  </si>
  <si>
    <t>6-Monoacetylmorphine (6-MAM) [Presence] in Specimen</t>
  </si>
  <si>
    <t>32099-4</t>
  </si>
  <si>
    <t>Methadone [Presence] in Specimen</t>
  </si>
  <si>
    <t>32093-7</t>
  </si>
  <si>
    <t>2-Ethylidene-1,5-Dimethyl-3,3-Diphenylpyrrolidine (EDDP) [Presence] in Specimen</t>
  </si>
  <si>
    <t>41859-0</t>
  </si>
  <si>
    <t>Buprenorphine [Presence] in Specimen</t>
  </si>
  <si>
    <t>82373-2</t>
  </si>
  <si>
    <t>Norbuprenorphine [Presence] in Specimen</t>
  </si>
  <si>
    <t>82375-7</t>
  </si>
  <si>
    <t xml:space="preserve">4-Anilino-N-Phenethylpiperidine [Presence] in Specimen </t>
  </si>
  <si>
    <t>LRNT171</t>
  </si>
  <si>
    <t>Acetylfentanyl [Presence] in Specimen</t>
  </si>
  <si>
    <t>LRNT172</t>
  </si>
  <si>
    <t>Fluorofentanyl [Presence] in Specimen</t>
  </si>
  <si>
    <t>LRNT173</t>
  </si>
  <si>
    <t>Para-Fluorofentanyl (P-FF) [Presence] in Specimen</t>
  </si>
  <si>
    <t>LRNT174</t>
  </si>
  <si>
    <t xml:space="preserve">Ortho-Fluorofentanyl (O-FF) [Presence] in Specimen </t>
  </si>
  <si>
    <t>LRNT175</t>
  </si>
  <si>
    <t>Meta-Fluorofentanyl (M-FF) [Presence] in Specimen</t>
  </si>
  <si>
    <t>LRNT176</t>
  </si>
  <si>
    <t>Carfentanil [Presence] in Specimen</t>
  </si>
  <si>
    <t>LRNT177</t>
  </si>
  <si>
    <t>Norcarfentanil [Presence] in Specimen</t>
  </si>
  <si>
    <t>LRNT178</t>
  </si>
  <si>
    <t>Tramadol [Presence] in Specimen </t>
  </si>
  <si>
    <t>LRNT179</t>
  </si>
  <si>
    <t>O-Desmethyltramadol [Presence] in Specimen</t>
  </si>
  <si>
    <t>LRNT180</t>
  </si>
  <si>
    <t>2-Methyl-AP-237 [Presence] in Specimen</t>
  </si>
  <si>
    <t>LRNT181</t>
  </si>
  <si>
    <t>Brorphine [Presence] in Specimen </t>
  </si>
  <si>
    <t>LRNT182</t>
  </si>
  <si>
    <t>Etodesnitazene [Presence] in Specimen </t>
  </si>
  <si>
    <t>LRNT183</t>
  </si>
  <si>
    <t>Isotonitazene [Presence] in Specimen </t>
  </si>
  <si>
    <t>LRNT184</t>
  </si>
  <si>
    <t>Metonitazene [Presence] in Specimen</t>
  </si>
  <si>
    <t>LRNT185</t>
  </si>
  <si>
    <t>N-Pyrrolidino Etonitazene [Presence] in Specimen </t>
  </si>
  <si>
    <t>LRNT186</t>
  </si>
  <si>
    <t>Protonitazene [Presence] in Specimen </t>
  </si>
  <si>
    <t>LRNT187</t>
  </si>
  <si>
    <t>Other Substances</t>
  </si>
  <si>
    <t>CT_OTHS</t>
  </si>
  <si>
    <t>Xylazine [Presence] in Specimen </t>
  </si>
  <si>
    <t>LRNT188</t>
  </si>
  <si>
    <t>Gabapentin [Presence] in Specimen </t>
  </si>
  <si>
    <t>LRNT189</t>
  </si>
  <si>
    <t>Stimulants</t>
  </si>
  <si>
    <t>CT_STIM</t>
  </si>
  <si>
    <t>Amphetamines [Presence] in Specimen</t>
  </si>
  <si>
    <t>29530-3</t>
  </si>
  <si>
    <t>Methamphetamine [Presence] in Specimen</t>
  </si>
  <si>
    <t>40381-6</t>
  </si>
  <si>
    <t>Cocaine [Presence] in Specimen</t>
  </si>
  <si>
    <t>40625-6</t>
  </si>
  <si>
    <t>Benzoylecgonine [Presence] in Specimen</t>
  </si>
  <si>
    <t>40609-0</t>
  </si>
  <si>
    <t>Methylenedioxyamphetamine [Presence] in Specimen</t>
  </si>
  <si>
    <t>61046-9</t>
  </si>
  <si>
    <t>Methylenedioxymethamphetamine [Presence] in Specimen</t>
  </si>
  <si>
    <t>40481-4</t>
  </si>
  <si>
    <t>Methylenedioxyethylamphetamine [Presence] in Specimen</t>
  </si>
  <si>
    <t>61049-3</t>
  </si>
  <si>
    <t>Standard Concept Code in Message</t>
  </si>
  <si>
    <t>Standard Concept Name in Message</t>
  </si>
  <si>
    <t xml:space="preserve">Code System </t>
  </si>
  <si>
    <t>OD2A</t>
  </si>
  <si>
    <t>99CTT</t>
  </si>
  <si>
    <t>Detected</t>
  </si>
  <si>
    <t>SNOMED-CT</t>
  </si>
  <si>
    <t>2.16.840.1.113883.6.96</t>
  </si>
  <si>
    <t>SCT</t>
  </si>
  <si>
    <t>Not detected</t>
  </si>
  <si>
    <t>Equivocal result</t>
  </si>
  <si>
    <t>Inconclusive</t>
  </si>
  <si>
    <t>Test not done</t>
  </si>
  <si>
    <t>Urine</t>
  </si>
  <si>
    <t>Urine specimen</t>
  </si>
  <si>
    <t xml:space="preserve">SNOMED-CT  </t>
  </si>
  <si>
    <t>Blood</t>
  </si>
  <si>
    <t xml:space="preserve">Blood </t>
  </si>
  <si>
    <t>Blood specimen</t>
  </si>
  <si>
    <t>Serum</t>
  </si>
  <si>
    <t>Serum specimen (specimen)</t>
  </si>
  <si>
    <t xml:space="preserve">Plasma </t>
  </si>
  <si>
    <t>Plasma specimen (specimen)</t>
  </si>
  <si>
    <t xml:space="preserve">LC/MS/MS </t>
  </si>
  <si>
    <t>Liquid Chromatography Mass Spectrometry</t>
  </si>
  <si>
    <t>LRN_C Generic</t>
  </si>
  <si>
    <t>2.16.840.1.114222.4.5.311</t>
  </si>
  <si>
    <t>99LRC</t>
  </si>
  <si>
    <t>ICP/MS</t>
  </si>
  <si>
    <t>Inductively Coupled Plasma Mass Spectrometry</t>
  </si>
  <si>
    <t>GC/MSD</t>
  </si>
  <si>
    <t>Gas Chromatography Mass Selective Detector</t>
  </si>
  <si>
    <t>Other - please specify</t>
  </si>
  <si>
    <t>OTH</t>
  </si>
  <si>
    <t>Other</t>
  </si>
  <si>
    <t>HL7 V3 Nullflavor</t>
  </si>
  <si>
    <t>2.16.840.1.113883.5.1008</t>
  </si>
  <si>
    <t>NULLFL</t>
  </si>
  <si>
    <t>Send original text in CWE.9, e.g OBX-17.9</t>
  </si>
  <si>
    <t>LC/ICP/MS</t>
  </si>
  <si>
    <t>Liquid Chromatography Inductively Coupled Plasma Mass Spectrometry</t>
  </si>
  <si>
    <t>GC/MS/MS</t>
  </si>
  <si>
    <t>Gas Chromatography Mass Spectrometry</t>
  </si>
  <si>
    <t>LC/HRMS</t>
  </si>
  <si>
    <t>Liquid Chromatography High Resolution Mass spectrometry</t>
  </si>
  <si>
    <t>American Indian or Alaska Native</t>
  </si>
  <si>
    <t>1002-5</t>
  </si>
  <si>
    <t>HL70005</t>
  </si>
  <si>
    <t>2.16.840.1.113883.6.238</t>
  </si>
  <si>
    <t>CDCREC</t>
  </si>
  <si>
    <t>Asian</t>
  </si>
  <si>
    <t>2028-9</t>
  </si>
  <si>
    <t>Black or African American</t>
  </si>
  <si>
    <t>2054-5</t>
  </si>
  <si>
    <t>Native Hawaiian or Other Pacific Islander</t>
  </si>
  <si>
    <t>2076-8</t>
  </si>
  <si>
    <t>Other Race</t>
  </si>
  <si>
    <t>2131-1</t>
  </si>
  <si>
    <t>White</t>
  </si>
  <si>
    <t>2106-3</t>
  </si>
  <si>
    <t>Hispanic</t>
  </si>
  <si>
    <t>2135-2</t>
  </si>
  <si>
    <t>HL70189</t>
  </si>
  <si>
    <t>Not-Hispanic</t>
  </si>
  <si>
    <t>2186-5</t>
  </si>
  <si>
    <t>Unknown</t>
  </si>
  <si>
    <t>UNK</t>
  </si>
  <si>
    <t>Age</t>
  </si>
  <si>
    <t>30525-0</t>
  </si>
  <si>
    <t>Will also support 21612-7^Age – Reported ^LN
Will also support  29553-5^Age Time Patient Calc^LN
Will also support  35659-2^Age at specimen collection^LN</t>
  </si>
  <si>
    <t>CT_VOC</t>
  </si>
  <si>
    <t>Volatile Organic Compounds</t>
  </si>
  <si>
    <t>NCEH</t>
  </si>
  <si>
    <t>N/A</t>
  </si>
  <si>
    <t>Year</t>
  </si>
  <si>
    <t>a</t>
  </si>
  <si>
    <t xml:space="preserve">	UCUM - Unified Code for Units of Measure</t>
  </si>
  <si>
    <t>2.16.840.1.114222.4.11.878</t>
  </si>
  <si>
    <t>UCUM</t>
  </si>
  <si>
    <t>Day</t>
  </si>
  <si>
    <t>d</t>
  </si>
  <si>
    <t>Month</t>
  </si>
  <si>
    <t>mo</t>
  </si>
  <si>
    <t>Hour</t>
  </si>
  <si>
    <t>h</t>
  </si>
  <si>
    <t>NullFlavor</t>
  </si>
  <si>
    <t>Epidemiologically Important Information</t>
  </si>
  <si>
    <t>68991-9</t>
  </si>
  <si>
    <t>EPI Question</t>
  </si>
  <si>
    <t>Is the specimen from a patient experiencing overdose?</t>
  </si>
  <si>
    <t>LRNT190</t>
  </si>
  <si>
    <t>99TST_LRNC</t>
  </si>
  <si>
    <t>2.16.840.1.114222.4.5.268</t>
  </si>
  <si>
    <t>99LRNCTST</t>
  </si>
  <si>
    <t>EPI Answers</t>
  </si>
  <si>
    <t>HL70136 value</t>
  </si>
  <si>
    <t>Yes</t>
  </si>
  <si>
    <t>Y</t>
  </si>
  <si>
    <t>Yes/No Indicator (HL7)</t>
  </si>
  <si>
    <t>2.16.840.1.114222.4.11.888</t>
  </si>
  <si>
    <t>HL70136</t>
  </si>
  <si>
    <t>No</t>
  </si>
  <si>
    <t>N</t>
  </si>
  <si>
    <t>LRNT192</t>
  </si>
  <si>
    <t>3-Hydroxyphencyclidine-Phencyclidine/4-Hydroxyphencyclidine-Phencyclidine [Presence] in Specimen </t>
  </si>
  <si>
    <t>Alpha-Pyrrolidinohexiophenone/Alpha-Pyrrolidinoisohexanophenone [Presence] in Specimen </t>
  </si>
  <si>
    <t>LRNT193</t>
  </si>
  <si>
    <t>Isotonitazene/Protonitazene [Presence] in Specimen </t>
  </si>
  <si>
    <t>LRNT194</t>
  </si>
  <si>
    <t xml:space="preserve">Novel Stimulants/Hallucinogens
</t>
  </si>
  <si>
    <t xml:space="preserve">Adding 1 new test analyte Isotonitazene/Protonitazene [Presence] in Specimen to Class - Opioids </t>
  </si>
  <si>
    <t>LRNT195</t>
  </si>
  <si>
    <t>Cocaethylene [Presence] in Specimen</t>
  </si>
  <si>
    <t>Updating Cocaethylene presence indication to LRN Code LRNT195 to Class - Stimulants.</t>
  </si>
  <si>
    <t xml:space="preserve">Adding 2 new  test analytes Alpha-Pyrrolidinohexiophenone/Alpha-Pyrrolidinoisohexanophenone [Presence] in Specimen and 3-Hydroxyphencyclidine-Phencyclidine/4-Hydroxyphencyclidine-Phencyclidine [Presence] in Specimen to Class - Novel Stimulants/Hallucinogens. </t>
  </si>
  <si>
    <t>Removed two tabs per program</t>
  </si>
  <si>
    <t>Patient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</si>
</sst>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00"/>
  </numFmts>
  <fonts count="45" x14ac:knownFonts="1">
    <font>
      <sz val="10"/>
      <name val="Arial"/>
    </font>
    <font>
      <sz val="11"/>
      <color theme="1"/>
      <name val="Calibri"/>
      <family val="2"/>
      <scheme val="minor"/>
    </font>
    <font>
      <u/>
      <sz val="10"/>
      <color indexed="12"/>
      <name val="Arial"/>
      <family val="2"/>
    </font>
    <font>
      <sz val="10"/>
      <name val="Arial"/>
      <family val="2"/>
    </font>
    <font>
      <sz val="8"/>
      <name val="Arial"/>
      <family val="2"/>
    </font>
    <font>
      <b/>
      <sz val="10"/>
      <name val="Arial"/>
      <family val="2"/>
    </font>
    <font>
      <sz val="10"/>
      <color indexed="10"/>
      <name val="Arial"/>
      <family val="2"/>
    </font>
    <font>
      <sz val="10"/>
      <name val="Arial"/>
      <family val="2"/>
    </font>
    <font>
      <b/>
      <sz val="11"/>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0"/>
      <color theme="1"/>
      <name val="Arial"/>
      <family val="2"/>
    </font>
    <font>
      <sz val="11"/>
      <color rgb="FF000000"/>
      <name val="Calibri"/>
      <family val="2"/>
    </font>
    <font>
      <sz val="10"/>
      <color rgb="FFFF0000"/>
      <name val="Arial"/>
      <family val="2"/>
    </font>
    <font>
      <sz val="11"/>
      <color rgb="FF000000"/>
      <name val="Arial"/>
      <family val="2"/>
    </font>
    <font>
      <b/>
      <sz val="11"/>
      <color theme="0"/>
      <name val="Arial"/>
      <family val="2"/>
    </font>
    <font>
      <sz val="10"/>
      <color rgb="FF000000"/>
      <name val="Arial"/>
      <family val="2"/>
    </font>
    <font>
      <sz val="10"/>
      <color rgb="FF000000"/>
      <name val="Calibri"/>
      <family val="2"/>
    </font>
    <font>
      <b/>
      <sz val="10"/>
      <color theme="0"/>
      <name val="Arial"/>
      <family val="2"/>
    </font>
    <font>
      <b/>
      <sz val="8"/>
      <name val="Arial Narrow"/>
      <family val="2"/>
    </font>
    <font>
      <sz val="8"/>
      <name val="Arial"/>
      <family val="2"/>
    </font>
    <font>
      <sz val="9"/>
      <name val="Arial"/>
      <family val="2"/>
    </font>
    <font>
      <sz val="8"/>
      <name val="Lucida Sans"/>
      <family val="2"/>
    </font>
    <font>
      <b/>
      <sz val="10"/>
      <color rgb="FF002060"/>
      <name val="Roboto"/>
    </font>
    <font>
      <b/>
      <sz val="10"/>
      <color rgb="FF000000"/>
      <name val="Arial"/>
      <family val="2"/>
    </font>
    <font>
      <b/>
      <sz val="11"/>
      <color rgb="FFFF0000"/>
      <name val="Arial"/>
      <family val="2"/>
    </font>
    <font>
      <sz val="11"/>
      <color rgb="FF111111"/>
      <name val="Arial"/>
      <family val="2"/>
    </font>
    <font>
      <sz val="8"/>
      <name val="Arial"/>
      <family val="2"/>
    </font>
  </fonts>
  <fills count="41">
    <fill>
      <patternFill patternType="none"/>
    </fill>
    <fill>
      <patternFill patternType="gray125"/>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rgb="FF92D050"/>
        <bgColor indexed="64"/>
      </patternFill>
    </fill>
    <fill>
      <patternFill patternType="solid">
        <fgColor theme="4"/>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47">
    <xf numFmtId="0" fontId="0" fillId="0" borderId="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2" fillId="27" borderId="0" applyNumberFormat="0" applyBorder="0" applyAlignment="0" applyProtection="0"/>
    <xf numFmtId="0" fontId="13" fillId="28" borderId="5" applyNumberFormat="0" applyAlignment="0" applyProtection="0"/>
    <xf numFmtId="0" fontId="14" fillId="29" borderId="6" applyNumberFormat="0" applyAlignment="0" applyProtection="0"/>
    <xf numFmtId="0" fontId="15" fillId="0" borderId="0" applyNumberFormat="0" applyFill="0" applyBorder="0" applyAlignment="0" applyProtection="0"/>
    <xf numFmtId="0" fontId="16" fillId="30" borderId="0" applyNumberFormat="0" applyBorder="0" applyAlignment="0" applyProtection="0"/>
    <xf numFmtId="0" fontId="17" fillId="0" borderId="7" applyNumberFormat="0" applyFill="0" applyAlignment="0" applyProtection="0"/>
    <xf numFmtId="0" fontId="18" fillId="0" borderId="8"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2" fillId="0" borderId="0" applyNumberFormat="0" applyFill="0" applyBorder="0" applyAlignment="0" applyProtection="0">
      <alignment vertical="top"/>
      <protection locked="0"/>
    </xf>
    <xf numFmtId="0" fontId="20" fillId="31" borderId="5" applyNumberFormat="0" applyAlignment="0" applyProtection="0"/>
    <xf numFmtId="0" fontId="21" fillId="0" borderId="10" applyNumberFormat="0" applyFill="0" applyAlignment="0" applyProtection="0"/>
    <xf numFmtId="0" fontId="22" fillId="32" borderId="0" applyNumberFormat="0" applyBorder="0" applyAlignment="0" applyProtection="0"/>
    <xf numFmtId="0" fontId="3" fillId="0" borderId="0"/>
    <xf numFmtId="0" fontId="3" fillId="0" borderId="0"/>
    <xf numFmtId="0" fontId="10" fillId="0" borderId="0"/>
    <xf numFmtId="0" fontId="10" fillId="33" borderId="11" applyNumberFormat="0" applyFont="0" applyAlignment="0" applyProtection="0"/>
    <xf numFmtId="0" fontId="23" fillId="28" borderId="12" applyNumberFormat="0" applyAlignment="0" applyProtection="0"/>
    <xf numFmtId="0" fontId="24" fillId="0" borderId="0" applyNumberFormat="0" applyFill="0" applyBorder="0" applyAlignment="0" applyProtection="0"/>
    <xf numFmtId="0" fontId="25" fillId="0" borderId="13" applyNumberFormat="0" applyFill="0" applyAlignment="0" applyProtection="0"/>
    <xf numFmtId="0" fontId="26" fillId="0" borderId="0" applyNumberFormat="0" applyFill="0" applyBorder="0" applyAlignment="0" applyProtection="0"/>
    <xf numFmtId="0" fontId="1" fillId="0" borderId="0"/>
  </cellStyleXfs>
  <cellXfs count="147">
    <xf numFmtId="0" fontId="0" fillId="0" borderId="0" xfId="0"/>
    <xf numFmtId="0" fontId="5" fillId="2" borderId="1" xfId="0" applyFont="1" applyFill="1" applyBorder="1" applyAlignment="1">
      <alignment wrapText="1"/>
    </xf>
    <xf numFmtId="0" fontId="0" fillId="0" borderId="0" xfId="0" applyAlignment="1">
      <alignment wrapText="1"/>
    </xf>
    <xf numFmtId="0" fontId="3" fillId="0" borderId="1" xfId="0" applyFont="1" applyBorder="1" applyAlignment="1">
      <alignment wrapText="1"/>
    </xf>
    <xf numFmtId="14" fontId="0" fillId="0" borderId="1" xfId="0" applyNumberFormat="1" applyBorder="1" applyAlignment="1">
      <alignment wrapText="1"/>
    </xf>
    <xf numFmtId="0" fontId="7" fillId="0" borderId="0" xfId="0" applyFont="1" applyAlignment="1">
      <alignment wrapText="1"/>
    </xf>
    <xf numFmtId="0" fontId="3" fillId="0" borderId="1" xfId="0" applyFont="1" applyBorder="1" applyAlignment="1">
      <alignment vertical="top" wrapText="1"/>
    </xf>
    <xf numFmtId="0" fontId="2" fillId="0" borderId="1" xfId="34" applyBorder="1" applyAlignment="1" applyProtection="1"/>
    <xf numFmtId="0" fontId="0" fillId="0" borderId="1" xfId="0" applyBorder="1" applyAlignment="1">
      <alignment wrapText="1"/>
    </xf>
    <xf numFmtId="15" fontId="0" fillId="0" borderId="1" xfId="0" applyNumberFormat="1" applyBorder="1" applyAlignment="1">
      <alignment wrapText="1"/>
    </xf>
    <xf numFmtId="0" fontId="2" fillId="0" borderId="1" xfId="34" applyBorder="1" applyAlignment="1" applyProtection="1">
      <alignment wrapText="1"/>
    </xf>
    <xf numFmtId="0" fontId="3" fillId="0" borderId="0" xfId="0" applyFont="1" applyAlignment="1">
      <alignment wrapText="1"/>
    </xf>
    <xf numFmtId="0" fontId="5" fillId="2" borderId="1" xfId="0" applyFont="1" applyFill="1" applyBorder="1" applyAlignment="1">
      <alignment horizontal="left" wrapText="1"/>
    </xf>
    <xf numFmtId="0" fontId="2" fillId="0" borderId="0" xfId="34" applyAlignment="1" applyProtection="1">
      <alignment wrapText="1"/>
    </xf>
    <xf numFmtId="0" fontId="6" fillId="0" borderId="0" xfId="0" applyFont="1" applyAlignment="1">
      <alignment wrapText="1"/>
    </xf>
    <xf numFmtId="0" fontId="2" fillId="0" borderId="1" xfId="34" applyBorder="1" applyAlignment="1" applyProtection="1">
      <alignment vertical="top" wrapText="1"/>
    </xf>
    <xf numFmtId="0" fontId="2" fillId="0" borderId="0" xfId="34" applyAlignment="1" applyProtection="1"/>
    <xf numFmtId="14" fontId="0" fillId="0" borderId="0" xfId="0" applyNumberFormat="1" applyAlignment="1">
      <alignment wrapText="1"/>
    </xf>
    <xf numFmtId="0" fontId="9" fillId="0" borderId="0" xfId="0" applyFont="1" applyFill="1" applyAlignment="1">
      <alignment horizontal="center" vertical="center"/>
    </xf>
    <xf numFmtId="0" fontId="9" fillId="0" borderId="1" xfId="0" applyFont="1" applyFill="1" applyBorder="1" applyAlignment="1">
      <alignment horizontal="center" vertical="center"/>
    </xf>
    <xf numFmtId="0" fontId="9" fillId="0" borderId="1" xfId="0" applyFont="1" applyBorder="1" applyAlignment="1">
      <alignment horizontal="center" vertical="center"/>
    </xf>
    <xf numFmtId="0" fontId="8" fillId="34" borderId="2"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0" xfId="0" applyFont="1" applyAlignment="1">
      <alignment horizontal="center" vertical="center"/>
    </xf>
    <xf numFmtId="0" fontId="8" fillId="34" borderId="1" xfId="0" applyFont="1" applyFill="1" applyBorder="1" applyAlignment="1">
      <alignment horizontal="center" vertical="center"/>
    </xf>
    <xf numFmtId="0" fontId="9" fillId="0" borderId="2" xfId="0" applyFont="1" applyFill="1" applyBorder="1" applyAlignment="1">
      <alignment horizontal="center" vertical="center"/>
    </xf>
    <xf numFmtId="0" fontId="0" fillId="0" borderId="0" xfId="0" applyAlignment="1">
      <alignment vertical="center"/>
    </xf>
    <xf numFmtId="0" fontId="9" fillId="0" borderId="0" xfId="0" applyFont="1" applyFill="1" applyBorder="1" applyAlignment="1">
      <alignment horizontal="center" vertical="center"/>
    </xf>
    <xf numFmtId="0" fontId="8" fillId="0" borderId="2" xfId="0" applyFont="1" applyFill="1" applyBorder="1" applyAlignment="1">
      <alignment horizontal="center" vertical="center"/>
    </xf>
    <xf numFmtId="0" fontId="29" fillId="0" borderId="0" xfId="0" applyFont="1" applyFill="1" applyBorder="1" applyAlignment="1">
      <alignment horizontal="left" vertical="center"/>
    </xf>
    <xf numFmtId="0" fontId="3" fillId="0" borderId="0" xfId="0" applyFont="1" applyFill="1" applyBorder="1" applyAlignment="1">
      <alignment horizontal="left"/>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0" fontId="9" fillId="0" borderId="0" xfId="0" applyFont="1" applyAlignment="1">
      <alignment horizontal="left" vertical="center"/>
    </xf>
    <xf numFmtId="0" fontId="29" fillId="0" borderId="1" xfId="0" applyFont="1" applyFill="1" applyBorder="1" applyAlignment="1">
      <alignment horizontal="left" vertical="center"/>
    </xf>
    <xf numFmtId="0" fontId="9" fillId="0" borderId="1" xfId="38" applyFont="1" applyFill="1" applyBorder="1" applyAlignment="1">
      <alignment horizontal="center" vertical="center"/>
    </xf>
    <xf numFmtId="0" fontId="9" fillId="0" borderId="1" xfId="38" applyFont="1" applyFill="1" applyBorder="1" applyAlignment="1">
      <alignment horizontal="center" vertical="center" wrapText="1"/>
    </xf>
    <xf numFmtId="0" fontId="3" fillId="0" borderId="0" xfId="38" applyFont="1" applyFill="1" applyBorder="1" applyAlignment="1">
      <alignment horizontal="left" wrapText="1"/>
    </xf>
    <xf numFmtId="0" fontId="9" fillId="0" borderId="0" xfId="38" applyFont="1" applyFill="1" applyAlignment="1">
      <alignment horizontal="center" vertical="center" wrapText="1"/>
    </xf>
    <xf numFmtId="0" fontId="32" fillId="36" borderId="1" xfId="0" applyFont="1" applyFill="1" applyBorder="1" applyAlignment="1">
      <alignment horizontal="center" vertical="center"/>
    </xf>
    <xf numFmtId="0" fontId="9" fillId="0" borderId="1" xfId="0" applyFont="1" applyBorder="1" applyAlignment="1">
      <alignment horizontal="center" vertical="center" wrapText="1"/>
    </xf>
    <xf numFmtId="0" fontId="3" fillId="0" borderId="1" xfId="38" applyFont="1" applyBorder="1" applyAlignment="1">
      <alignment horizontal="center" vertical="center" wrapText="1"/>
    </xf>
    <xf numFmtId="0" fontId="3" fillId="0" borderId="1" xfId="0" applyFont="1" applyBorder="1" applyAlignment="1">
      <alignment horizontal="center" vertical="center" wrapText="1"/>
    </xf>
    <xf numFmtId="0" fontId="33" fillId="0" borderId="1" xfId="0" applyFont="1" applyBorder="1" applyAlignment="1">
      <alignment horizontal="left" vertical="center" wrapText="1"/>
    </xf>
    <xf numFmtId="0" fontId="33" fillId="0" borderId="1" xfId="38" applyFont="1" applyBorder="1" applyAlignment="1">
      <alignment horizontal="left" vertical="center" wrapText="1"/>
    </xf>
    <xf numFmtId="0" fontId="31" fillId="0" borderId="1" xfId="0" applyFont="1" applyBorder="1" applyAlignment="1">
      <alignment horizontal="left" vertical="center" wrapText="1"/>
    </xf>
    <xf numFmtId="0" fontId="3" fillId="0" borderId="0" xfId="0" applyFont="1" applyAlignment="1">
      <alignment horizontal="left"/>
    </xf>
    <xf numFmtId="0" fontId="35" fillId="36" borderId="1" xfId="0" applyFont="1" applyFill="1" applyBorder="1" applyAlignment="1">
      <alignment horizontal="center" vertical="center"/>
    </xf>
    <xf numFmtId="0" fontId="9" fillId="35" borderId="1" xfId="0" applyFont="1" applyFill="1" applyBorder="1" applyAlignment="1">
      <alignment horizontal="center" vertical="center"/>
    </xf>
    <xf numFmtId="0" fontId="0" fillId="0" borderId="1" xfId="0" applyBorder="1"/>
    <xf numFmtId="164" fontId="5" fillId="2" borderId="1" xfId="0" applyNumberFormat="1" applyFont="1" applyFill="1" applyBorder="1" applyAlignment="1">
      <alignment wrapText="1"/>
    </xf>
    <xf numFmtId="164" fontId="0" fillId="0" borderId="1" xfId="0" applyNumberFormat="1" applyBorder="1" applyAlignment="1">
      <alignment wrapText="1"/>
    </xf>
    <xf numFmtId="164" fontId="0" fillId="0" borderId="0" xfId="0" applyNumberFormat="1" applyAlignment="1">
      <alignment wrapText="1"/>
    </xf>
    <xf numFmtId="0" fontId="9" fillId="35" borderId="1" xfId="0" applyFont="1" applyFill="1" applyBorder="1" applyAlignment="1">
      <alignment horizontal="center" vertical="center" wrapText="1"/>
    </xf>
    <xf numFmtId="0" fontId="29" fillId="35" borderId="1" xfId="0" applyFont="1" applyFill="1" applyBorder="1" applyAlignment="1">
      <alignment horizontal="left" vertical="center"/>
    </xf>
    <xf numFmtId="0" fontId="8" fillId="0" borderId="0" xfId="0" applyFont="1" applyFill="1" applyBorder="1" applyAlignment="1">
      <alignment horizontal="center" vertical="center"/>
    </xf>
    <xf numFmtId="0" fontId="39" fillId="0" borderId="0" xfId="0" applyFont="1" applyAlignment="1">
      <alignment vertical="center"/>
    </xf>
    <xf numFmtId="0" fontId="39" fillId="0" borderId="0" xfId="0" applyFont="1"/>
    <xf numFmtId="0" fontId="32" fillId="36" borderId="1" xfId="0" applyFont="1" applyFill="1" applyBorder="1" applyAlignment="1">
      <alignment horizontal="center" vertical="center" wrapText="1"/>
    </xf>
    <xf numFmtId="0" fontId="0" fillId="0" borderId="0" xfId="0" applyFill="1"/>
    <xf numFmtId="0" fontId="9" fillId="0" borderId="3" xfId="0" applyFont="1" applyFill="1" applyBorder="1" applyAlignment="1">
      <alignment horizontal="center" vertical="center"/>
    </xf>
    <xf numFmtId="0" fontId="9" fillId="0" borderId="3" xfId="0" applyFont="1" applyFill="1" applyBorder="1" applyAlignment="1">
      <alignment horizontal="center" vertical="center" wrapText="1"/>
    </xf>
    <xf numFmtId="0" fontId="38" fillId="35" borderId="1" xfId="0" applyFont="1" applyFill="1" applyBorder="1" applyAlignment="1">
      <alignment horizontal="center" vertical="center"/>
    </xf>
    <xf numFmtId="0" fontId="40" fillId="0" borderId="0" xfId="0" applyFont="1" applyAlignment="1">
      <alignment horizontal="center" vertical="center" wrapText="1"/>
    </xf>
    <xf numFmtId="0" fontId="32" fillId="0" borderId="0" xfId="0" applyFont="1" applyAlignment="1">
      <alignment horizontal="center" vertical="center"/>
    </xf>
    <xf numFmtId="0" fontId="30" fillId="35" borderId="1" xfId="0" applyFont="1" applyFill="1" applyBorder="1" applyAlignment="1">
      <alignment horizontal="center" vertical="top"/>
    </xf>
    <xf numFmtId="0" fontId="3" fillId="0" borderId="0" xfId="38"/>
    <xf numFmtId="0" fontId="28" fillId="34" borderId="1" xfId="38" applyFont="1" applyFill="1" applyBorder="1" applyAlignment="1">
      <alignment horizontal="left" vertical="top" wrapText="1"/>
    </xf>
    <xf numFmtId="0" fontId="3" fillId="0" borderId="1" xfId="38" applyBorder="1" applyAlignment="1">
      <alignment vertical="center"/>
    </xf>
    <xf numFmtId="0" fontId="3" fillId="0" borderId="1" xfId="38" applyBorder="1" applyAlignment="1">
      <alignment horizontal="center" vertical="center"/>
    </xf>
    <xf numFmtId="0" fontId="27" fillId="0" borderId="1" xfId="38" applyFont="1" applyBorder="1" applyAlignment="1">
      <alignment horizontal="left" vertical="top" wrapText="1"/>
    </xf>
    <xf numFmtId="0" fontId="27" fillId="34" borderId="1" xfId="38" applyFont="1" applyFill="1" applyBorder="1" applyAlignment="1">
      <alignment horizontal="left" vertical="top" wrapText="1"/>
    </xf>
    <xf numFmtId="0" fontId="27" fillId="38" borderId="1" xfId="38" applyFont="1" applyFill="1" applyBorder="1" applyAlignment="1">
      <alignment horizontal="left" vertical="top" wrapText="1"/>
    </xf>
    <xf numFmtId="0" fontId="25" fillId="34" borderId="1" xfId="38" applyFont="1" applyFill="1" applyBorder="1" applyAlignment="1">
      <alignment vertical="center"/>
    </xf>
    <xf numFmtId="0" fontId="25" fillId="34" borderId="1" xfId="38" applyFont="1" applyFill="1" applyBorder="1" applyAlignment="1">
      <alignment horizontal="center" vertical="center"/>
    </xf>
    <xf numFmtId="0" fontId="3" fillId="0" borderId="1" xfId="38" applyFont="1" applyBorder="1" applyAlignment="1">
      <alignment vertical="center" wrapText="1"/>
    </xf>
    <xf numFmtId="0" fontId="41" fillId="38" borderId="1" xfId="38" applyFont="1" applyFill="1" applyBorder="1" applyAlignment="1">
      <alignment vertical="center" wrapText="1"/>
    </xf>
    <xf numFmtId="0" fontId="3" fillId="38" borderId="1" xfId="38" applyFont="1" applyFill="1" applyBorder="1" applyAlignment="1">
      <alignment vertical="top" wrapText="1"/>
    </xf>
    <xf numFmtId="0" fontId="32" fillId="36" borderId="3" xfId="0" applyFont="1" applyFill="1" applyBorder="1" applyAlignment="1">
      <alignment horizontal="center" vertical="center"/>
    </xf>
    <xf numFmtId="0" fontId="35" fillId="36" borderId="3" xfId="0" applyFont="1" applyFill="1" applyBorder="1" applyAlignment="1">
      <alignment horizontal="center" vertical="center"/>
    </xf>
    <xf numFmtId="0" fontId="9" fillId="0" borderId="14" xfId="0" applyFont="1" applyFill="1" applyBorder="1" applyAlignment="1">
      <alignment horizontal="center" vertical="center"/>
    </xf>
    <xf numFmtId="0" fontId="42" fillId="40" borderId="2" xfId="0" applyFont="1" applyFill="1" applyBorder="1" applyAlignment="1">
      <alignment horizontal="center" vertical="center"/>
    </xf>
    <xf numFmtId="0" fontId="8" fillId="40" borderId="2" xfId="0" applyFont="1" applyFill="1" applyBorder="1" applyAlignment="1">
      <alignment horizontal="center" vertical="center"/>
    </xf>
    <xf numFmtId="0" fontId="8" fillId="40" borderId="0" xfId="0" applyFont="1" applyFill="1" applyBorder="1" applyAlignment="1">
      <alignment horizontal="center" vertical="center"/>
    </xf>
    <xf numFmtId="0" fontId="9" fillId="39" borderId="1" xfId="0" applyFont="1" applyFill="1" applyBorder="1" applyAlignment="1">
      <alignment horizontal="center" vertical="center" wrapText="1"/>
    </xf>
    <xf numFmtId="0" fontId="0" fillId="39" borderId="1" xfId="0" applyFill="1" applyBorder="1" applyAlignment="1">
      <alignment horizontal="center" vertical="center"/>
    </xf>
    <xf numFmtId="0" fontId="9" fillId="39" borderId="1" xfId="0" applyFont="1" applyFill="1" applyBorder="1" applyAlignment="1">
      <alignment horizontal="center" vertical="center"/>
    </xf>
    <xf numFmtId="0" fontId="43" fillId="0" borderId="0" xfId="0" applyFont="1" applyAlignment="1">
      <alignment horizontal="center" vertical="center" wrapText="1"/>
    </xf>
    <xf numFmtId="0" fontId="3" fillId="0" borderId="0" xfId="0" applyFont="1" applyAlignment="1">
      <alignment horizontal="center"/>
    </xf>
    <xf numFmtId="0" fontId="3" fillId="0" borderId="15" xfId="0" applyFont="1" applyBorder="1" applyAlignment="1">
      <alignment horizontal="left" vertical="top" wrapText="1"/>
    </xf>
    <xf numFmtId="0" fontId="8" fillId="0" borderId="1" xfId="0" applyFont="1" applyFill="1" applyBorder="1" applyAlignment="1">
      <alignment horizontal="center" vertical="center"/>
    </xf>
    <xf numFmtId="0" fontId="3" fillId="39" borderId="1" xfId="0" applyFont="1" applyFill="1" applyBorder="1" applyAlignment="1">
      <alignment horizontal="center" vertical="center"/>
    </xf>
    <xf numFmtId="0" fontId="3" fillId="0" borderId="2" xfId="0" applyFont="1" applyFill="1" applyBorder="1" applyAlignment="1">
      <alignment horizontal="center" vertical="center"/>
    </xf>
    <xf numFmtId="0" fontId="5" fillId="34" borderId="1" xfId="0" applyFont="1" applyFill="1" applyBorder="1" applyAlignment="1">
      <alignment horizontal="center" vertical="center"/>
    </xf>
    <xf numFmtId="0" fontId="3" fillId="0" borderId="1" xfId="0" applyFont="1" applyBorder="1" applyAlignment="1">
      <alignment horizontal="center" wrapText="1"/>
    </xf>
    <xf numFmtId="0" fontId="3" fillId="0" borderId="1" xfId="38" applyFont="1" applyBorder="1" applyAlignment="1">
      <alignment horizontal="center" wrapText="1"/>
    </xf>
    <xf numFmtId="0" fontId="34" fillId="0" borderId="1" xfId="0" applyFont="1" applyBorder="1" applyAlignment="1">
      <alignment horizont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8" fillId="34" borderId="2" xfId="0" applyFont="1" applyFill="1" applyBorder="1" applyAlignment="1">
      <alignment horizontal="center" vertical="center" wrapText="1"/>
    </xf>
    <xf numFmtId="0" fontId="3" fillId="0" borderId="1" xfId="0" applyFont="1" applyFill="1" applyBorder="1" applyAlignment="1">
      <alignment horizontal="left" vertical="center"/>
    </xf>
    <xf numFmtId="0" fontId="9" fillId="0" borderId="1" xfId="0" applyFont="1" applyFill="1" applyBorder="1" applyAlignment="1">
      <alignment horizontal="center" vertical="top" wrapText="1"/>
    </xf>
    <xf numFmtId="0" fontId="9" fillId="0" borderId="1" xfId="0" applyFont="1" applyFill="1" applyBorder="1" applyAlignment="1">
      <alignment horizontal="center"/>
    </xf>
    <xf numFmtId="0" fontId="9" fillId="0" borderId="1" xfId="0" applyFont="1" applyFill="1" applyBorder="1" applyAlignment="1">
      <alignment horizontal="center" wrapText="1"/>
    </xf>
    <xf numFmtId="0" fontId="43" fillId="0" borderId="1" xfId="0" applyFont="1" applyBorder="1" applyAlignment="1">
      <alignment horizontal="center" vertical="center" wrapText="1"/>
    </xf>
    <xf numFmtId="0" fontId="9" fillId="0" borderId="1" xfId="0" applyFont="1" applyFill="1" applyBorder="1" applyAlignment="1">
      <alignment horizontal="left" vertical="top" wrapText="1"/>
    </xf>
    <xf numFmtId="0" fontId="9" fillId="0" borderId="1" xfId="0" applyFont="1" applyFill="1" applyBorder="1" applyAlignment="1">
      <alignment vertical="center" wrapText="1"/>
    </xf>
    <xf numFmtId="0" fontId="31" fillId="0" borderId="1" xfId="38" applyFont="1" applyFill="1" applyBorder="1" applyAlignment="1">
      <alignment horizontal="left" vertical="center" wrapText="1"/>
    </xf>
    <xf numFmtId="0" fontId="0" fillId="0" borderId="0" xfId="0" applyFill="1" applyAlignment="1">
      <alignment vertical="center"/>
    </xf>
    <xf numFmtId="0" fontId="43" fillId="0" borderId="1" xfId="0" applyFont="1" applyFill="1" applyBorder="1" applyAlignment="1">
      <alignment horizontal="center" vertical="center" wrapText="1"/>
    </xf>
    <xf numFmtId="0" fontId="0" fillId="0" borderId="1" xfId="0" applyFill="1" applyBorder="1"/>
    <xf numFmtId="0" fontId="3"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3" fillId="0" borderId="0" xfId="0" applyFont="1" applyFill="1" applyAlignment="1">
      <alignment horizontal="center" vertical="top" wrapText="1"/>
    </xf>
    <xf numFmtId="0" fontId="0" fillId="0" borderId="1" xfId="0" applyFill="1" applyBorder="1" applyAlignment="1">
      <alignment vertical="center"/>
    </xf>
    <xf numFmtId="0" fontId="30" fillId="0" borderId="1" xfId="0" applyFont="1" applyFill="1" applyBorder="1" applyAlignment="1">
      <alignment horizontal="center" vertical="center"/>
    </xf>
    <xf numFmtId="0" fontId="3" fillId="0" borderId="1" xfId="38" applyFont="1" applyFill="1" applyBorder="1" applyAlignment="1">
      <alignment vertical="center" wrapText="1"/>
    </xf>
    <xf numFmtId="0" fontId="3" fillId="0" borderId="1" xfId="38" applyFont="1" applyFill="1" applyBorder="1" applyAlignment="1">
      <alignment horizontal="center" vertical="center" wrapText="1"/>
    </xf>
    <xf numFmtId="0" fontId="27" fillId="0" borderId="1" xfId="38" applyFont="1" applyFill="1" applyBorder="1" applyAlignment="1">
      <alignment horizontal="left" vertical="top" wrapText="1"/>
    </xf>
    <xf numFmtId="0" fontId="3" fillId="0" borderId="1" xfId="34" applyFont="1" applyBorder="1" applyAlignment="1" applyProtection="1">
      <alignment wrapText="1"/>
    </xf>
    <xf numFmtId="0" fontId="9" fillId="0" borderId="15" xfId="0" applyFont="1" applyBorder="1" applyAlignment="1">
      <alignment horizontal="center" vertical="center"/>
    </xf>
    <xf numFmtId="0" fontId="9" fillId="0" borderId="1" xfId="38" applyFont="1" applyBorder="1" applyAlignment="1">
      <alignment horizontal="center" vertical="center" wrapText="1"/>
    </xf>
    <xf numFmtId="0" fontId="9" fillId="0" borderId="0" xfId="0" applyFont="1" applyFill="1" applyBorder="1" applyAlignment="1">
      <alignment horizontal="center" vertical="center" wrapText="1"/>
    </xf>
    <xf numFmtId="0" fontId="0" fillId="0" borderId="0" xfId="0" applyFill="1" applyBorder="1"/>
    <xf numFmtId="0" fontId="0" fillId="0" borderId="0" xfId="0" applyBorder="1"/>
    <xf numFmtId="0" fontId="31" fillId="0" borderId="1" xfId="0" applyFont="1" applyFill="1" applyBorder="1" applyAlignment="1">
      <alignment horizontal="left" vertical="center" wrapText="1"/>
    </xf>
    <xf numFmtId="165" fontId="9" fillId="0" borderId="1" xfId="0" applyNumberFormat="1" applyFont="1" applyFill="1" applyBorder="1" applyAlignment="1">
      <alignment horizontal="center" vertical="center" wrapText="1"/>
    </xf>
    <xf numFmtId="0" fontId="9" fillId="0" borderId="1" xfId="38" applyFont="1" applyBorder="1" applyAlignment="1">
      <alignment horizontal="center" vertical="center"/>
    </xf>
    <xf numFmtId="0" fontId="29" fillId="0" borderId="1" xfId="0" applyFont="1" applyBorder="1" applyAlignment="1">
      <alignment horizontal="center" vertical="center"/>
    </xf>
    <xf numFmtId="0" fontId="29" fillId="0" borderId="1" xfId="38"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3" fillId="0" borderId="0" xfId="0" applyFont="1" applyAlignment="1">
      <alignment horizontal="left" vertical="center"/>
    </xf>
    <xf numFmtId="0" fontId="2" fillId="0" borderId="1" xfId="34" applyBorder="1" applyAlignment="1" applyProtection="1">
      <alignment vertical="top"/>
    </xf>
    <xf numFmtId="164" fontId="0" fillId="0" borderId="1" xfId="0" applyNumberFormat="1" applyBorder="1" applyAlignment="1">
      <alignment vertical="top" wrapText="1"/>
    </xf>
    <xf numFmtId="0" fontId="0" fillId="0" borderId="1" xfId="0" applyBorder="1" applyAlignment="1">
      <alignment vertical="top" wrapText="1"/>
    </xf>
    <xf numFmtId="0" fontId="2" fillId="0" borderId="1" xfId="34" quotePrefix="1" applyBorder="1" applyAlignment="1" applyProtection="1">
      <alignment vertical="top" wrapText="1"/>
    </xf>
    <xf numFmtId="0" fontId="38" fillId="0" borderId="1" xfId="0" applyFont="1" applyBorder="1" applyAlignment="1">
      <alignment vertical="top" wrapText="1"/>
    </xf>
    <xf numFmtId="0" fontId="3" fillId="0" borderId="1" xfId="0" applyFont="1" applyFill="1" applyBorder="1" applyAlignment="1">
      <alignment vertical="top" wrapText="1"/>
    </xf>
    <xf numFmtId="14" fontId="0" fillId="0" borderId="1" xfId="0" applyNumberFormat="1" applyFill="1" applyBorder="1" applyAlignment="1">
      <alignment horizontal="right" vertical="top"/>
    </xf>
    <xf numFmtId="0" fontId="3" fillId="0" borderId="1" xfId="0" applyFont="1" applyFill="1" applyBorder="1" applyAlignment="1">
      <alignment vertical="top"/>
    </xf>
    <xf numFmtId="0" fontId="36" fillId="37" borderId="1" xfId="0" applyFont="1" applyFill="1" applyBorder="1" applyAlignment="1">
      <alignment horizontal="center" vertical="top" wrapText="1"/>
    </xf>
    <xf numFmtId="0" fontId="36" fillId="37" borderId="0" xfId="38" applyFont="1" applyFill="1" applyAlignment="1">
      <alignment horizontal="center" vertical="center" wrapText="1"/>
    </xf>
    <xf numFmtId="0" fontId="8" fillId="0" borderId="14" xfId="0" applyFont="1" applyFill="1" applyBorder="1" applyAlignment="1">
      <alignment horizontal="left" vertical="top"/>
    </xf>
    <xf numFmtId="0" fontId="8" fillId="0" borderId="2" xfId="0" applyFont="1" applyFill="1" applyBorder="1" applyAlignment="1">
      <alignment horizontal="left" vertical="top"/>
    </xf>
    <xf numFmtId="0" fontId="8" fillId="0" borderId="4" xfId="0" applyFont="1" applyFill="1" applyBorder="1" applyAlignment="1">
      <alignment horizontal="left" vertical="top"/>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xr:uid="{00000000-0005-0000-0000-000026000000}"/>
    <cellStyle name="Normal 3" xfId="39" xr:uid="{00000000-0005-0000-0000-000027000000}"/>
    <cellStyle name="Normal 4" xfId="40" xr:uid="{00000000-0005-0000-0000-000028000000}"/>
    <cellStyle name="Normal 5" xfId="46" xr:uid="{00000000-0005-0000-0000-000029000000}"/>
    <cellStyle name="Note 2" xfId="41" xr:uid="{00000000-0005-0000-0000-00002A000000}"/>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PatientAge_OBX-5'!A1"/><Relationship Id="rId7" Type="http://schemas.openxmlformats.org/officeDocument/2006/relationships/hyperlink" Target="#'Age_Unit_OBX-6'!A1"/><Relationship Id="rId2" Type="http://schemas.openxmlformats.org/officeDocument/2006/relationships/hyperlink" Target="#'PatientEthnicity_PID-22'!A1"/><Relationship Id="rId1" Type="http://schemas.openxmlformats.org/officeDocument/2006/relationships/hyperlink" Target="#'Novel Stimulants&amp;Hallucinogens'!A1"/><Relationship Id="rId6" Type="http://schemas.openxmlformats.org/officeDocument/2006/relationships/hyperlink" Target="#Opioids!A1"/><Relationship Id="rId5" Type="http://schemas.openxmlformats.org/officeDocument/2006/relationships/hyperlink" Target="#'PatSexOrien_OBX-5'!A1"/><Relationship Id="rId4" Type="http://schemas.openxmlformats.org/officeDocument/2006/relationships/hyperlink" Target="#'PatGenIdentity_OBX-5'!A1"/></Relationships>
</file>

<file path=xl/drawings/drawing1.xml><?xml version="1.0" encoding="utf-8"?>
<xdr:wsDr xmlns:xdr="http://schemas.openxmlformats.org/drawingml/2006/spreadsheetDrawing" xmlns:a="http://schemas.openxmlformats.org/drawingml/2006/main">
  <xdr:twoCellAnchor>
    <xdr:from>
      <xdr:col>1</xdr:col>
      <xdr:colOff>9525</xdr:colOff>
      <xdr:row>9</xdr:row>
      <xdr:rowOff>28575</xdr:rowOff>
    </xdr:from>
    <xdr:to>
      <xdr:col>1</xdr:col>
      <xdr:colOff>1323975</xdr:colOff>
      <xdr:row>9</xdr:row>
      <xdr:rowOff>161925</xdr:rowOff>
    </xdr:to>
    <xdr:sp macro="" textlink="">
      <xdr:nvSpPr>
        <xdr:cNvPr id="2" name="Rectangle 1">
          <a:hlinkClick xmlns:r="http://schemas.openxmlformats.org/officeDocument/2006/relationships" r:id="rId1" tooltip="Novel Stimulants/Hallucinogens"/>
          <a:extLst>
            <a:ext uri="{FF2B5EF4-FFF2-40B4-BE49-F238E27FC236}">
              <a16:creationId xmlns:a16="http://schemas.microsoft.com/office/drawing/2014/main" id="{9B8A9E50-4B9C-4900-B8F7-5805174A0612}"/>
            </a:ext>
          </a:extLst>
        </xdr:cNvPr>
        <xdr:cNvSpPr/>
      </xdr:nvSpPr>
      <xdr:spPr>
        <a:xfrm>
          <a:off x="619125" y="13154025"/>
          <a:ext cx="131445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Novel Stimulants/Hallucinogens</a:t>
          </a:r>
        </a:p>
        <a:p>
          <a:pPr algn="l"/>
          <a:endParaRPr lang="en-US" sz="1100"/>
        </a:p>
      </xdr:txBody>
    </xdr:sp>
    <xdr:clientData/>
  </xdr:twoCellAnchor>
  <xdr:twoCellAnchor>
    <xdr:from>
      <xdr:col>1</xdr:col>
      <xdr:colOff>28575</xdr:colOff>
      <xdr:row>9</xdr:row>
      <xdr:rowOff>190500</xdr:rowOff>
    </xdr:from>
    <xdr:to>
      <xdr:col>1</xdr:col>
      <xdr:colOff>1400175</xdr:colOff>
      <xdr:row>9</xdr:row>
      <xdr:rowOff>314325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C0DDAD8A-9D4C-4A32-A16E-951DDC674D20}"/>
            </a:ext>
          </a:extLst>
        </xdr:cNvPr>
        <xdr:cNvSpPr/>
      </xdr:nvSpPr>
      <xdr:spPr>
        <a:xfrm>
          <a:off x="638175" y="13315950"/>
          <a:ext cx="1371600"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xdr:colOff>
      <xdr:row>9</xdr:row>
      <xdr:rowOff>352424</xdr:rowOff>
    </xdr:from>
    <xdr:to>
      <xdr:col>1</xdr:col>
      <xdr:colOff>1095375</xdr:colOff>
      <xdr:row>9</xdr:row>
      <xdr:rowOff>476249</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98F2FA39-60B4-4CD4-8C0F-BF452D0D8AC3}"/>
            </a:ext>
          </a:extLst>
        </xdr:cNvPr>
        <xdr:cNvSpPr/>
      </xdr:nvSpPr>
      <xdr:spPr>
        <a:xfrm>
          <a:off x="628650" y="13477874"/>
          <a:ext cx="107632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9</xdr:row>
      <xdr:rowOff>504825</xdr:rowOff>
    </xdr:from>
    <xdr:to>
      <xdr:col>1</xdr:col>
      <xdr:colOff>1285875</xdr:colOff>
      <xdr:row>9</xdr:row>
      <xdr:rowOff>628650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5582CF7B-27E1-4A8E-B1B3-6EAE640B4F62}"/>
            </a:ext>
          </a:extLst>
        </xdr:cNvPr>
        <xdr:cNvSpPr/>
      </xdr:nvSpPr>
      <xdr:spPr>
        <a:xfrm>
          <a:off x="638175" y="13630275"/>
          <a:ext cx="1257300"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9</xdr:row>
      <xdr:rowOff>666750</xdr:rowOff>
    </xdr:from>
    <xdr:to>
      <xdr:col>1</xdr:col>
      <xdr:colOff>1181100</xdr:colOff>
      <xdr:row>9</xdr:row>
      <xdr:rowOff>800100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E30AB7AD-7F29-43EC-9A55-1250559B0424}"/>
            </a:ext>
          </a:extLst>
        </xdr:cNvPr>
        <xdr:cNvSpPr/>
      </xdr:nvSpPr>
      <xdr:spPr>
        <a:xfrm>
          <a:off x="609600" y="13792200"/>
          <a:ext cx="118110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9</xdr:row>
      <xdr:rowOff>9525</xdr:rowOff>
    </xdr:from>
    <xdr:to>
      <xdr:col>1</xdr:col>
      <xdr:colOff>1323975</xdr:colOff>
      <xdr:row>9</xdr:row>
      <xdr:rowOff>142875</xdr:rowOff>
    </xdr:to>
    <xdr:sp macro="" textlink="">
      <xdr:nvSpPr>
        <xdr:cNvPr id="7" name="Rectangle 6">
          <a:extLst>
            <a:ext uri="{FF2B5EF4-FFF2-40B4-BE49-F238E27FC236}">
              <a16:creationId xmlns:a16="http://schemas.microsoft.com/office/drawing/2014/main" id="{0FF5397B-B5CA-4018-92B0-444472FEEA99}"/>
            </a:ext>
          </a:extLst>
        </xdr:cNvPr>
        <xdr:cNvSpPr/>
      </xdr:nvSpPr>
      <xdr:spPr>
        <a:xfrm>
          <a:off x="930275" y="2771775"/>
          <a:ext cx="131445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9</xdr:row>
      <xdr:rowOff>190500</xdr:rowOff>
    </xdr:from>
    <xdr:to>
      <xdr:col>1</xdr:col>
      <xdr:colOff>1400175</xdr:colOff>
      <xdr:row>9</xdr:row>
      <xdr:rowOff>314325</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C8F8CBD7-2723-4BFC-886A-FAB1CAA67300}"/>
            </a:ext>
          </a:extLst>
        </xdr:cNvPr>
        <xdr:cNvSpPr/>
      </xdr:nvSpPr>
      <xdr:spPr>
        <a:xfrm>
          <a:off x="638175" y="13315950"/>
          <a:ext cx="1371600"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xdr:colOff>
      <xdr:row>9</xdr:row>
      <xdr:rowOff>352424</xdr:rowOff>
    </xdr:from>
    <xdr:to>
      <xdr:col>1</xdr:col>
      <xdr:colOff>1095375</xdr:colOff>
      <xdr:row>9</xdr:row>
      <xdr:rowOff>476249</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EFEDDA95-8FED-47E5-BF86-982691C99AB2}"/>
            </a:ext>
          </a:extLst>
        </xdr:cNvPr>
        <xdr:cNvSpPr/>
      </xdr:nvSpPr>
      <xdr:spPr>
        <a:xfrm>
          <a:off x="628650" y="13477874"/>
          <a:ext cx="107632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xdr:colOff>
      <xdr:row>9</xdr:row>
      <xdr:rowOff>504825</xdr:rowOff>
    </xdr:from>
    <xdr:to>
      <xdr:col>1</xdr:col>
      <xdr:colOff>1285875</xdr:colOff>
      <xdr:row>9</xdr:row>
      <xdr:rowOff>628650</xdr:rowOff>
    </xdr:to>
    <xdr:sp macro="" textlink="">
      <xdr:nvSpPr>
        <xdr:cNvPr id="10" name="Rectangle 9">
          <a:hlinkClick xmlns:r="http://schemas.openxmlformats.org/officeDocument/2006/relationships" r:id="rId7"/>
          <a:extLst>
            <a:ext uri="{FF2B5EF4-FFF2-40B4-BE49-F238E27FC236}">
              <a16:creationId xmlns:a16="http://schemas.microsoft.com/office/drawing/2014/main" id="{ACBD3F87-F95D-4C5D-939A-58A46427763B}"/>
            </a:ext>
          </a:extLst>
        </xdr:cNvPr>
        <xdr:cNvSpPr/>
      </xdr:nvSpPr>
      <xdr:spPr>
        <a:xfrm>
          <a:off x="638175" y="13630275"/>
          <a:ext cx="1257300"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9</xdr:row>
      <xdr:rowOff>666750</xdr:rowOff>
    </xdr:from>
    <xdr:to>
      <xdr:col>1</xdr:col>
      <xdr:colOff>1181100</xdr:colOff>
      <xdr:row>9</xdr:row>
      <xdr:rowOff>800100</xdr:rowOff>
    </xdr:to>
    <xdr:sp macro="" textlink="">
      <xdr:nvSpPr>
        <xdr:cNvPr id="11" name="Rectangle 10">
          <a:hlinkClick xmlns:r="http://schemas.openxmlformats.org/officeDocument/2006/relationships" r:id="rId4"/>
          <a:extLst>
            <a:ext uri="{FF2B5EF4-FFF2-40B4-BE49-F238E27FC236}">
              <a16:creationId xmlns:a16="http://schemas.microsoft.com/office/drawing/2014/main" id="{A646FC9E-2849-4573-8076-7EC3E3E7C529}"/>
            </a:ext>
          </a:extLst>
        </xdr:cNvPr>
        <xdr:cNvSpPr/>
      </xdr:nvSpPr>
      <xdr:spPr>
        <a:xfrm>
          <a:off x="609600" y="13792200"/>
          <a:ext cx="1181100" cy="133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78"/>
  <sheetViews>
    <sheetView workbookViewId="0">
      <selection activeCell="A2" sqref="A2"/>
    </sheetView>
  </sheetViews>
  <sheetFormatPr defaultColWidth="9.1796875" defaultRowHeight="12.5" x14ac:dyDescent="0.25"/>
  <cols>
    <col min="1" max="1" width="13.1796875" style="2" customWidth="1"/>
    <col min="2" max="2" width="13.453125" style="2" customWidth="1"/>
    <col min="3" max="3" width="11.453125" style="2" customWidth="1"/>
    <col min="4" max="4" width="38.26953125" style="2" customWidth="1"/>
    <col min="5" max="5" width="64.453125" style="2" customWidth="1"/>
    <col min="6" max="6" width="15.1796875" style="2" customWidth="1"/>
    <col min="7" max="7" width="24.453125" style="2" customWidth="1"/>
    <col min="8" max="16384" width="9.1796875" style="2"/>
  </cols>
  <sheetData>
    <row r="1" spans="1:7" customFormat="1" ht="26" x14ac:dyDescent="0.3">
      <c r="A1" s="1" t="s">
        <v>0</v>
      </c>
      <c r="B1" s="12" t="s">
        <v>1</v>
      </c>
      <c r="C1" s="12" t="s">
        <v>2</v>
      </c>
      <c r="D1" s="1" t="s">
        <v>3</v>
      </c>
      <c r="E1" s="1" t="s">
        <v>4</v>
      </c>
      <c r="F1" s="1" t="s">
        <v>5</v>
      </c>
      <c r="G1" s="1" t="s">
        <v>6</v>
      </c>
    </row>
    <row r="2" spans="1:7" x14ac:dyDescent="0.25">
      <c r="A2" s="8"/>
      <c r="B2" s="6"/>
      <c r="C2" s="6"/>
      <c r="D2" s="7"/>
      <c r="E2" s="3"/>
      <c r="F2" s="4"/>
      <c r="G2" s="3"/>
    </row>
    <row r="3" spans="1:7" x14ac:dyDescent="0.25">
      <c r="A3" s="8"/>
      <c r="B3" s="6"/>
      <c r="C3" s="6"/>
      <c r="D3" s="7"/>
      <c r="E3" s="3"/>
      <c r="F3" s="4"/>
      <c r="G3" s="3"/>
    </row>
    <row r="4" spans="1:7" x14ac:dyDescent="0.25">
      <c r="A4" s="8"/>
      <c r="B4" s="6"/>
      <c r="C4" s="6"/>
      <c r="D4" s="7"/>
      <c r="E4" s="3"/>
      <c r="F4" s="4"/>
      <c r="G4" s="3"/>
    </row>
    <row r="5" spans="1:7" x14ac:dyDescent="0.25">
      <c r="A5" s="8"/>
      <c r="B5" s="3"/>
      <c r="C5" s="3"/>
      <c r="D5" s="7"/>
      <c r="E5" s="3"/>
      <c r="F5" s="4"/>
      <c r="G5" s="3"/>
    </row>
    <row r="6" spans="1:7" x14ac:dyDescent="0.25">
      <c r="A6" s="8"/>
      <c r="B6" s="8"/>
      <c r="C6" s="8"/>
      <c r="D6" s="10"/>
      <c r="E6" s="3"/>
      <c r="F6" s="9"/>
      <c r="G6" s="3"/>
    </row>
    <row r="7" spans="1:7" x14ac:dyDescent="0.25">
      <c r="A7" s="8"/>
      <c r="B7" s="3"/>
      <c r="C7" s="3"/>
      <c r="D7" s="10"/>
      <c r="E7" s="3"/>
      <c r="F7" s="9"/>
      <c r="G7" s="3"/>
    </row>
    <row r="8" spans="1:7" x14ac:dyDescent="0.25">
      <c r="A8" s="8"/>
      <c r="B8" s="3"/>
      <c r="C8" s="8"/>
      <c r="D8" s="10"/>
      <c r="E8" s="3"/>
      <c r="F8" s="9"/>
      <c r="G8" s="3"/>
    </row>
    <row r="9" spans="1:7" x14ac:dyDescent="0.25">
      <c r="A9" s="8"/>
      <c r="B9" s="3"/>
      <c r="C9" s="3"/>
      <c r="D9" s="8"/>
      <c r="E9" s="8"/>
      <c r="F9" s="9"/>
      <c r="G9" s="3"/>
    </row>
    <row r="10" spans="1:7" x14ac:dyDescent="0.25">
      <c r="A10" s="8"/>
      <c r="B10" s="3"/>
      <c r="C10" s="3"/>
      <c r="D10" s="8"/>
      <c r="E10" s="8"/>
      <c r="F10" s="9"/>
      <c r="G10" s="3"/>
    </row>
    <row r="11" spans="1:7" x14ac:dyDescent="0.25">
      <c r="A11" s="8"/>
      <c r="B11" s="3"/>
      <c r="C11" s="15"/>
      <c r="D11" s="10"/>
      <c r="E11" s="3"/>
      <c r="F11" s="9"/>
      <c r="G11" s="8"/>
    </row>
    <row r="12" spans="1:7" x14ac:dyDescent="0.25">
      <c r="A12" s="8"/>
      <c r="B12" s="3"/>
      <c r="C12" s="3"/>
      <c r="D12" s="8"/>
      <c r="E12" s="8"/>
      <c r="F12" s="9"/>
      <c r="G12" s="3"/>
    </row>
    <row r="13" spans="1:7" x14ac:dyDescent="0.25">
      <c r="A13" s="8"/>
      <c r="B13" s="3"/>
      <c r="C13" s="3"/>
      <c r="D13" s="8"/>
      <c r="E13" s="3"/>
      <c r="F13" s="9"/>
      <c r="G13" s="3"/>
    </row>
    <row r="14" spans="1:7" s="14" customFormat="1" x14ac:dyDescent="0.25">
      <c r="A14" s="8"/>
      <c r="B14" s="3"/>
      <c r="C14" s="3"/>
      <c r="D14" s="8"/>
      <c r="E14" s="3"/>
      <c r="F14" s="9"/>
      <c r="G14" s="3"/>
    </row>
    <row r="15" spans="1:7" s="14" customFormat="1" x14ac:dyDescent="0.25">
      <c r="A15" s="8"/>
      <c r="B15" s="3"/>
      <c r="C15" s="10"/>
      <c r="D15" s="10"/>
      <c r="E15" s="3"/>
      <c r="F15" s="9"/>
      <c r="G15" s="8"/>
    </row>
    <row r="16" spans="1:7" s="14" customFormat="1" x14ac:dyDescent="0.25">
      <c r="A16" s="8"/>
      <c r="B16" s="3"/>
      <c r="C16" s="3"/>
      <c r="D16" s="10"/>
      <c r="E16" s="3"/>
      <c r="F16" s="9"/>
      <c r="G16" s="3"/>
    </row>
    <row r="17" spans="1:7" s="14" customFormat="1" x14ac:dyDescent="0.25">
      <c r="A17" s="8"/>
      <c r="B17" s="3"/>
      <c r="C17" s="3"/>
      <c r="D17" s="10"/>
      <c r="E17" s="3"/>
      <c r="F17" s="9"/>
      <c r="G17" s="3"/>
    </row>
    <row r="18" spans="1:7" x14ac:dyDescent="0.25">
      <c r="A18" s="8"/>
      <c r="B18" s="3"/>
      <c r="C18" s="3"/>
      <c r="D18" s="10"/>
      <c r="E18" s="3"/>
      <c r="F18" s="9"/>
      <c r="G18" s="3"/>
    </row>
    <row r="19" spans="1:7" s="14" customFormat="1" x14ac:dyDescent="0.25">
      <c r="A19" s="8"/>
      <c r="B19" s="3"/>
      <c r="C19" s="3"/>
      <c r="D19" s="8"/>
      <c r="E19" s="3"/>
      <c r="F19" s="9"/>
      <c r="G19" s="3"/>
    </row>
    <row r="20" spans="1:7" x14ac:dyDescent="0.25">
      <c r="A20" s="8"/>
      <c r="B20" s="3"/>
      <c r="C20" s="3"/>
      <c r="D20" s="10"/>
      <c r="E20" s="8"/>
      <c r="F20" s="4"/>
      <c r="G20" s="3"/>
    </row>
    <row r="21" spans="1:7" x14ac:dyDescent="0.25">
      <c r="C21" s="16"/>
      <c r="D21" s="13"/>
      <c r="E21" s="11"/>
      <c r="F21" s="17"/>
    </row>
    <row r="22" spans="1:7" x14ac:dyDescent="0.25">
      <c r="C22" s="16"/>
      <c r="D22" s="13"/>
      <c r="E22" s="11"/>
      <c r="F22" s="17"/>
    </row>
    <row r="23" spans="1:7" x14ac:dyDescent="0.25">
      <c r="C23" s="16"/>
      <c r="D23" s="13"/>
      <c r="E23" s="11"/>
      <c r="F23" s="17"/>
    </row>
    <row r="24" spans="1:7" x14ac:dyDescent="0.25">
      <c r="C24" s="16"/>
      <c r="E24" s="11"/>
      <c r="F24" s="17"/>
    </row>
    <row r="25" spans="1:7" x14ac:dyDescent="0.25">
      <c r="C25" s="16"/>
      <c r="D25" s="13"/>
      <c r="E25" s="11"/>
      <c r="F25" s="17"/>
    </row>
    <row r="26" spans="1:7" x14ac:dyDescent="0.25">
      <c r="C26" s="16"/>
      <c r="D26" s="13"/>
      <c r="E26" s="11"/>
      <c r="F26" s="17"/>
    </row>
    <row r="27" spans="1:7" x14ac:dyDescent="0.25">
      <c r="C27" s="16"/>
      <c r="D27" s="13"/>
      <c r="E27" s="11"/>
      <c r="F27" s="17"/>
    </row>
    <row r="28" spans="1:7" x14ac:dyDescent="0.25">
      <c r="C28" s="16"/>
      <c r="D28" s="13"/>
      <c r="E28" s="11"/>
      <c r="F28" s="17"/>
    </row>
    <row r="29" spans="1:7" x14ac:dyDescent="0.25">
      <c r="C29" s="16"/>
      <c r="D29" s="13"/>
      <c r="E29" s="11"/>
      <c r="F29" s="17"/>
    </row>
    <row r="30" spans="1:7" x14ac:dyDescent="0.25">
      <c r="C30" s="16"/>
      <c r="D30" s="13"/>
      <c r="E30" s="11"/>
      <c r="F30" s="17"/>
    </row>
    <row r="31" spans="1:7" ht="27.75" customHeight="1" x14ac:dyDescent="0.25">
      <c r="C31" s="16"/>
      <c r="D31" s="13"/>
      <c r="E31" s="11"/>
      <c r="F31" s="17"/>
    </row>
    <row r="32" spans="1:7" x14ac:dyDescent="0.25">
      <c r="C32" s="16"/>
      <c r="D32" s="13"/>
      <c r="E32" s="11"/>
      <c r="F32" s="17"/>
    </row>
    <row r="33" spans="3:6" x14ac:dyDescent="0.25">
      <c r="C33" s="16"/>
      <c r="D33" s="13"/>
      <c r="F33" s="17"/>
    </row>
    <row r="34" spans="3:6" x14ac:dyDescent="0.25">
      <c r="C34" s="16"/>
      <c r="D34" s="13"/>
      <c r="F34" s="17"/>
    </row>
    <row r="35" spans="3:6" x14ac:dyDescent="0.25">
      <c r="C35" s="16"/>
      <c r="D35" s="13"/>
      <c r="F35" s="17"/>
    </row>
    <row r="36" spans="3:6" x14ac:dyDescent="0.25">
      <c r="C36" s="16"/>
      <c r="D36" s="13"/>
      <c r="F36" s="17"/>
    </row>
    <row r="37" spans="3:6" x14ac:dyDescent="0.25">
      <c r="C37" s="16"/>
      <c r="D37" s="13"/>
      <c r="F37" s="17"/>
    </row>
    <row r="38" spans="3:6" x14ac:dyDescent="0.25">
      <c r="C38" s="16"/>
      <c r="D38" s="13"/>
      <c r="F38" s="17"/>
    </row>
    <row r="39" spans="3:6" x14ac:dyDescent="0.25">
      <c r="C39" s="16"/>
      <c r="D39" s="13"/>
      <c r="F39" s="17"/>
    </row>
    <row r="40" spans="3:6" x14ac:dyDescent="0.25">
      <c r="C40" s="16"/>
      <c r="D40" s="13"/>
      <c r="F40" s="17"/>
    </row>
    <row r="41" spans="3:6" x14ac:dyDescent="0.25">
      <c r="C41" s="16"/>
      <c r="D41" s="13"/>
      <c r="F41" s="17"/>
    </row>
    <row r="42" spans="3:6" x14ac:dyDescent="0.25">
      <c r="C42" s="16"/>
      <c r="D42" s="13"/>
      <c r="F42" s="17"/>
    </row>
    <row r="43" spans="3:6" x14ac:dyDescent="0.25">
      <c r="C43" s="16"/>
      <c r="D43" s="13"/>
      <c r="F43" s="17"/>
    </row>
    <row r="59" spans="1:6" s="5" customFormat="1" x14ac:dyDescent="0.25">
      <c r="A59" s="2"/>
      <c r="B59" s="2"/>
      <c r="C59" s="2"/>
      <c r="D59" s="2"/>
      <c r="E59" s="2"/>
      <c r="F59" s="2"/>
    </row>
    <row r="60" spans="1:6" s="5" customFormat="1" x14ac:dyDescent="0.25">
      <c r="A60" s="2"/>
      <c r="B60" s="2"/>
      <c r="C60" s="2"/>
      <c r="D60" s="2"/>
      <c r="E60" s="2"/>
      <c r="F60" s="2"/>
    </row>
    <row r="61" spans="1:6" s="5" customFormat="1" x14ac:dyDescent="0.25">
      <c r="A61" s="2"/>
      <c r="B61" s="2"/>
      <c r="C61" s="2"/>
      <c r="D61" s="2"/>
      <c r="E61" s="2"/>
      <c r="F61" s="2"/>
    </row>
    <row r="62" spans="1:6" s="5" customFormat="1" x14ac:dyDescent="0.25">
      <c r="A62" s="2"/>
      <c r="B62" s="2"/>
      <c r="C62" s="2"/>
      <c r="D62" s="2"/>
      <c r="E62" s="2"/>
      <c r="F62" s="2"/>
    </row>
    <row r="64" spans="1:6" s="5" customFormat="1" x14ac:dyDescent="0.25">
      <c r="A64" s="2"/>
      <c r="B64" s="2"/>
      <c r="C64" s="2"/>
      <c r="D64" s="2"/>
      <c r="E64" s="2"/>
      <c r="F64" s="2"/>
    </row>
    <row r="65" spans="1:6" s="5" customFormat="1" x14ac:dyDescent="0.25">
      <c r="A65" s="2"/>
      <c r="B65" s="2"/>
      <c r="C65" s="2"/>
      <c r="D65" s="2"/>
      <c r="E65" s="2"/>
      <c r="F65" s="2"/>
    </row>
    <row r="73" spans="1:6" s="5" customFormat="1" x14ac:dyDescent="0.25">
      <c r="A73" s="2"/>
      <c r="B73" s="2"/>
      <c r="C73" s="2"/>
      <c r="D73" s="2"/>
      <c r="E73" s="2"/>
      <c r="F73" s="2"/>
    </row>
    <row r="74" spans="1:6" s="5" customFormat="1" x14ac:dyDescent="0.25">
      <c r="A74" s="2"/>
      <c r="B74" s="2"/>
      <c r="C74" s="2"/>
      <c r="D74" s="2"/>
      <c r="E74" s="2"/>
      <c r="F74" s="2"/>
    </row>
    <row r="75" spans="1:6" s="5" customFormat="1" x14ac:dyDescent="0.25">
      <c r="A75" s="2"/>
      <c r="B75" s="2"/>
      <c r="C75" s="2"/>
      <c r="D75" s="2"/>
      <c r="E75" s="2"/>
      <c r="F75" s="2"/>
    </row>
    <row r="76" spans="1:6" s="5" customFormat="1" x14ac:dyDescent="0.25">
      <c r="A76" s="2"/>
      <c r="B76" s="2"/>
      <c r="C76" s="2"/>
      <c r="D76" s="2"/>
      <c r="E76" s="2"/>
      <c r="F76" s="2"/>
    </row>
    <row r="77" spans="1:6" s="5" customFormat="1" x14ac:dyDescent="0.25">
      <c r="A77" s="2"/>
      <c r="B77" s="2"/>
      <c r="C77" s="2"/>
      <c r="D77" s="2"/>
      <c r="E77" s="2"/>
      <c r="F77" s="2"/>
    </row>
    <row r="78" spans="1:6" s="5" customFormat="1" x14ac:dyDescent="0.25">
      <c r="A78" s="2"/>
      <c r="B78" s="2"/>
      <c r="C78" s="2"/>
      <c r="D78" s="2"/>
      <c r="E78" s="2"/>
      <c r="F78"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13"/>
  <sheetViews>
    <sheetView workbookViewId="0">
      <selection activeCell="B31" sqref="B31"/>
    </sheetView>
  </sheetViews>
  <sheetFormatPr defaultColWidth="9.1796875" defaultRowHeight="12.5" x14ac:dyDescent="0.25"/>
  <cols>
    <col min="1" max="1" width="13.1796875" style="2" customWidth="1"/>
    <col min="2" max="2" width="37.7265625" style="2" customWidth="1"/>
    <col min="3" max="3" width="78.453125" style="2" customWidth="1"/>
    <col min="4" max="4" width="10.7265625" style="52" customWidth="1"/>
    <col min="5" max="5" width="35.453125" style="2" customWidth="1"/>
    <col min="6" max="6" width="0.1796875" style="2" customWidth="1"/>
    <col min="7" max="21" width="9.1796875" style="2" hidden="1" customWidth="1"/>
    <col min="22" max="16384" width="9.1796875" style="2"/>
  </cols>
  <sheetData>
    <row r="1" spans="1:21" ht="90"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3" x14ac:dyDescent="0.3">
      <c r="A2" s="1" t="s">
        <v>1</v>
      </c>
      <c r="B2" s="1" t="s">
        <v>8</v>
      </c>
      <c r="C2" s="1" t="s">
        <v>4</v>
      </c>
      <c r="D2" s="50" t="s">
        <v>5</v>
      </c>
      <c r="E2" s="1" t="s">
        <v>6</v>
      </c>
    </row>
    <row r="3" spans="1:21" x14ac:dyDescent="0.25">
      <c r="A3" s="8"/>
      <c r="B3" s="3" t="s">
        <v>9</v>
      </c>
      <c r="C3" s="3" t="s">
        <v>10</v>
      </c>
      <c r="D3" s="51">
        <v>45303</v>
      </c>
      <c r="E3" s="8" t="s">
        <v>11</v>
      </c>
    </row>
    <row r="4" spans="1:21" x14ac:dyDescent="0.25">
      <c r="A4" s="8"/>
      <c r="B4" s="119" t="s">
        <v>9</v>
      </c>
      <c r="C4" s="8" t="s">
        <v>12</v>
      </c>
      <c r="D4" s="51">
        <v>45434</v>
      </c>
      <c r="E4" s="8" t="s">
        <v>11</v>
      </c>
    </row>
    <row r="5" spans="1:21" s="11" customFormat="1" ht="37.5" x14ac:dyDescent="0.25">
      <c r="A5" s="8"/>
      <c r="B5" s="15" t="s">
        <v>389</v>
      </c>
      <c r="C5" s="138" t="s">
        <v>394</v>
      </c>
      <c r="D5" s="135">
        <v>45604</v>
      </c>
      <c r="E5" s="136" t="s">
        <v>11</v>
      </c>
    </row>
    <row r="6" spans="1:21" ht="28.5" customHeight="1" x14ac:dyDescent="0.25">
      <c r="A6" s="8"/>
      <c r="B6" s="134" t="s">
        <v>186</v>
      </c>
      <c r="C6" s="6" t="s">
        <v>390</v>
      </c>
      <c r="D6" s="135">
        <v>45604</v>
      </c>
      <c r="E6" s="136" t="s">
        <v>11</v>
      </c>
    </row>
    <row r="7" spans="1:21" ht="12" customHeight="1" x14ac:dyDescent="0.25">
      <c r="A7" s="8"/>
      <c r="B7" s="134" t="s">
        <v>264</v>
      </c>
      <c r="C7" s="6" t="s">
        <v>393</v>
      </c>
      <c r="D7" s="135">
        <v>45604</v>
      </c>
      <c r="E7" s="136" t="s">
        <v>11</v>
      </c>
    </row>
    <row r="8" spans="1:21" ht="13" customHeight="1" x14ac:dyDescent="0.25">
      <c r="A8" s="8"/>
      <c r="B8" s="139" t="s">
        <v>395</v>
      </c>
      <c r="C8" s="139" t="s">
        <v>395</v>
      </c>
      <c r="D8" s="140">
        <v>45688</v>
      </c>
      <c r="E8" s="141" t="s">
        <v>11</v>
      </c>
    </row>
    <row r="9" spans="1:21" ht="13" customHeight="1" x14ac:dyDescent="0.25">
      <c r="A9" s="8"/>
      <c r="B9" s="10"/>
      <c r="C9" s="8"/>
      <c r="D9" s="135"/>
      <c r="E9" s="136"/>
    </row>
    <row r="10" spans="1:21" ht="39" customHeight="1" x14ac:dyDescent="0.25">
      <c r="A10" s="8"/>
      <c r="B10" s="137"/>
      <c r="C10" s="3"/>
      <c r="D10" s="135"/>
      <c r="E10" s="136"/>
    </row>
    <row r="11" spans="1:21" ht="13" customHeight="1" x14ac:dyDescent="0.25">
      <c r="A11" s="8"/>
      <c r="B11" s="10"/>
      <c r="C11" s="8"/>
      <c r="D11" s="135"/>
      <c r="E11" s="136"/>
    </row>
    <row r="12" spans="1:21" ht="13" customHeight="1" x14ac:dyDescent="0.25">
      <c r="A12" s="8"/>
      <c r="B12" s="10"/>
      <c r="C12" s="8"/>
      <c r="D12" s="135"/>
      <c r="E12" s="136"/>
    </row>
    <row r="13" spans="1:21" ht="13" customHeight="1" x14ac:dyDescent="0.25">
      <c r="A13" s="8"/>
      <c r="B13" s="10"/>
      <c r="C13" s="8"/>
      <c r="D13" s="135"/>
      <c r="E13" s="136"/>
    </row>
  </sheetData>
  <mergeCells count="1">
    <mergeCell ref="A1:U1"/>
  </mergeCells>
  <phoneticPr fontId="37" type="noConversion"/>
  <hyperlinks>
    <hyperlink ref="B5" location="'Novel Stimulants&amp;Hallucinogens'!A1" display="'Novel Stimulants&amp;Hallucinogens'!A1" xr:uid="{965E9E1C-52D5-4A66-A0C6-5D565B3F68AA}"/>
    <hyperlink ref="B6" location="Opioids!A1" display="Opioids" xr:uid="{38C4BE8D-205F-45AA-9111-68FBF547B18B}"/>
    <hyperlink ref="B7" location="Stimulants!A1" display="Stimulants" xr:uid="{55B855C0-71E1-43D7-B35F-2DB2C4CEE474}"/>
  </hyperlinks>
  <pageMargins left="0.7" right="0.7" top="0.75" bottom="0.75" header="0.3" footer="0.3"/>
  <pageSetup orientation="portrait" horizontalDpi="4294967292"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9A9E-50B1-4160-A1BF-E3927F1B04A0}">
  <sheetPr codeName="Sheet3">
    <tabColor theme="1" tint="4.9989318521683403E-2"/>
  </sheetPr>
  <dimension ref="A1:U40"/>
  <sheetViews>
    <sheetView topLeftCell="A3" zoomScale="104" zoomScaleNormal="104" workbookViewId="0">
      <selection activeCell="A41" sqref="A41"/>
    </sheetView>
  </sheetViews>
  <sheetFormatPr defaultColWidth="8.7265625" defaultRowHeight="12.5" x14ac:dyDescent="0.25"/>
  <cols>
    <col min="1" max="1" width="38.7265625" style="66" customWidth="1"/>
    <col min="2" max="2" width="16.453125" style="66" customWidth="1"/>
    <col min="3" max="3" width="36.26953125" style="66" customWidth="1"/>
    <col min="4" max="4" width="0.26953125" style="66" customWidth="1"/>
    <col min="5" max="11" width="9.26953125" style="66" hidden="1" customWidth="1"/>
    <col min="12" max="12" width="0.26953125" style="66" customWidth="1"/>
    <col min="13" max="21" width="9.26953125" style="66" hidden="1" customWidth="1"/>
    <col min="22" max="16384" width="8.7265625" style="66"/>
  </cols>
  <sheetData>
    <row r="1" spans="1:21" ht="99.65" customHeight="1" x14ac:dyDescent="0.25">
      <c r="A1" s="143" t="s">
        <v>7</v>
      </c>
      <c r="B1" s="143"/>
      <c r="C1" s="143"/>
      <c r="D1" s="143"/>
      <c r="E1" s="143"/>
      <c r="F1" s="143"/>
      <c r="G1" s="143"/>
      <c r="H1" s="143"/>
      <c r="I1" s="143"/>
      <c r="J1" s="143"/>
      <c r="K1" s="143"/>
      <c r="L1" s="143"/>
      <c r="M1" s="143"/>
      <c r="N1" s="143"/>
      <c r="O1" s="143"/>
      <c r="P1" s="143"/>
      <c r="Q1" s="143"/>
      <c r="R1" s="143"/>
      <c r="S1" s="143"/>
      <c r="T1" s="143"/>
      <c r="U1" s="143"/>
    </row>
    <row r="2" spans="1:21" ht="13" x14ac:dyDescent="0.25">
      <c r="A2" s="67" t="s">
        <v>13</v>
      </c>
      <c r="B2" s="67" t="s">
        <v>14</v>
      </c>
      <c r="C2" s="67" t="s">
        <v>15</v>
      </c>
    </row>
    <row r="3" spans="1:21" x14ac:dyDescent="0.25">
      <c r="A3" s="68" t="s">
        <v>16</v>
      </c>
      <c r="B3" s="69" t="s">
        <v>17</v>
      </c>
      <c r="C3" s="70" t="s">
        <v>18</v>
      </c>
    </row>
    <row r="4" spans="1:21" ht="14.5" x14ac:dyDescent="0.25">
      <c r="A4" s="73" t="s">
        <v>19</v>
      </c>
      <c r="B4" s="74"/>
      <c r="C4" s="71"/>
    </row>
    <row r="5" spans="1:21" x14ac:dyDescent="0.25">
      <c r="A5" s="68" t="s">
        <v>20</v>
      </c>
      <c r="B5" s="69" t="s">
        <v>21</v>
      </c>
      <c r="C5" s="70" t="s">
        <v>18</v>
      </c>
    </row>
    <row r="6" spans="1:21" x14ac:dyDescent="0.25">
      <c r="A6" s="68" t="s">
        <v>22</v>
      </c>
      <c r="B6" s="69" t="s">
        <v>23</v>
      </c>
      <c r="C6" s="70" t="s">
        <v>18</v>
      </c>
    </row>
    <row r="7" spans="1:21" x14ac:dyDescent="0.25">
      <c r="A7" s="68" t="s">
        <v>24</v>
      </c>
      <c r="B7" s="69" t="s">
        <v>25</v>
      </c>
      <c r="C7" s="70" t="s">
        <v>18</v>
      </c>
    </row>
    <row r="8" spans="1:21" x14ac:dyDescent="0.25">
      <c r="A8" s="68" t="s">
        <v>26</v>
      </c>
      <c r="B8" s="69" t="s">
        <v>27</v>
      </c>
      <c r="C8" s="70" t="s">
        <v>18</v>
      </c>
    </row>
    <row r="9" spans="1:21" x14ac:dyDescent="0.25">
      <c r="A9" s="68" t="s">
        <v>28</v>
      </c>
      <c r="B9" s="69" t="s">
        <v>29</v>
      </c>
      <c r="C9" s="70" t="s">
        <v>30</v>
      </c>
    </row>
    <row r="10" spans="1:21" x14ac:dyDescent="0.25">
      <c r="A10" s="68" t="s">
        <v>31</v>
      </c>
      <c r="B10" s="69" t="s">
        <v>32</v>
      </c>
      <c r="C10" s="70" t="s">
        <v>18</v>
      </c>
    </row>
    <row r="11" spans="1:21" x14ac:dyDescent="0.25">
      <c r="A11" s="68" t="s">
        <v>33</v>
      </c>
      <c r="B11" s="69" t="s">
        <v>34</v>
      </c>
      <c r="C11" s="70" t="s">
        <v>35</v>
      </c>
    </row>
    <row r="12" spans="1:21" x14ac:dyDescent="0.25">
      <c r="A12" s="68" t="s">
        <v>36</v>
      </c>
      <c r="B12" s="69" t="s">
        <v>37</v>
      </c>
      <c r="C12" s="70" t="s">
        <v>18</v>
      </c>
    </row>
    <row r="13" spans="1:21" x14ac:dyDescent="0.25">
      <c r="A13" s="68" t="s">
        <v>38</v>
      </c>
      <c r="B13" s="69" t="s">
        <v>39</v>
      </c>
      <c r="C13" s="70" t="s">
        <v>18</v>
      </c>
    </row>
    <row r="14" spans="1:21" ht="14.5" x14ac:dyDescent="0.25">
      <c r="A14" s="73" t="s">
        <v>40</v>
      </c>
      <c r="B14" s="74"/>
      <c r="C14" s="71"/>
    </row>
    <row r="15" spans="1:21" x14ac:dyDescent="0.25">
      <c r="A15" s="68" t="s">
        <v>41</v>
      </c>
      <c r="B15" s="69" t="s">
        <v>42</v>
      </c>
      <c r="C15" s="70" t="s">
        <v>18</v>
      </c>
    </row>
    <row r="16" spans="1:21" x14ac:dyDescent="0.25">
      <c r="A16" s="68" t="s">
        <v>43</v>
      </c>
      <c r="B16" s="69" t="s">
        <v>44</v>
      </c>
      <c r="C16" s="70" t="s">
        <v>30</v>
      </c>
    </row>
    <row r="17" spans="1:3" x14ac:dyDescent="0.25">
      <c r="A17" s="68" t="s">
        <v>45</v>
      </c>
      <c r="B17" s="69" t="s">
        <v>46</v>
      </c>
      <c r="C17" s="70" t="s">
        <v>30</v>
      </c>
    </row>
    <row r="18" spans="1:3" x14ac:dyDescent="0.25">
      <c r="A18" s="68" t="s">
        <v>47</v>
      </c>
      <c r="B18" s="69" t="s">
        <v>48</v>
      </c>
      <c r="C18" s="70" t="s">
        <v>18</v>
      </c>
    </row>
    <row r="19" spans="1:3" x14ac:dyDescent="0.25">
      <c r="A19" s="68" t="s">
        <v>49</v>
      </c>
      <c r="B19" s="69" t="s">
        <v>50</v>
      </c>
      <c r="C19" s="70" t="s">
        <v>18</v>
      </c>
    </row>
    <row r="20" spans="1:3" x14ac:dyDescent="0.25">
      <c r="A20" s="68" t="s">
        <v>51</v>
      </c>
      <c r="B20" s="69" t="s">
        <v>52</v>
      </c>
      <c r="C20" s="70" t="s">
        <v>35</v>
      </c>
    </row>
    <row r="21" spans="1:3" ht="14.5" x14ac:dyDescent="0.25">
      <c r="A21" s="73" t="s">
        <v>53</v>
      </c>
      <c r="B21" s="74"/>
      <c r="C21" s="71"/>
    </row>
    <row r="22" spans="1:3" x14ac:dyDescent="0.25">
      <c r="A22" s="75" t="s">
        <v>54</v>
      </c>
      <c r="B22" s="41" t="s">
        <v>55</v>
      </c>
      <c r="C22" s="70" t="s">
        <v>18</v>
      </c>
    </row>
    <row r="23" spans="1:3" ht="13" x14ac:dyDescent="0.25">
      <c r="A23" s="76" t="s">
        <v>56</v>
      </c>
      <c r="B23" s="77"/>
      <c r="C23" s="72" t="s">
        <v>35</v>
      </c>
    </row>
    <row r="24" spans="1:3" x14ac:dyDescent="0.25">
      <c r="A24" s="116" t="s">
        <v>57</v>
      </c>
      <c r="B24" s="117" t="s">
        <v>58</v>
      </c>
      <c r="C24" s="118" t="s">
        <v>35</v>
      </c>
    </row>
    <row r="25" spans="1:3" x14ac:dyDescent="0.25">
      <c r="A25" s="116" t="s">
        <v>59</v>
      </c>
      <c r="B25" s="117" t="s">
        <v>60</v>
      </c>
      <c r="C25" s="118" t="s">
        <v>35</v>
      </c>
    </row>
    <row r="26" spans="1:3" x14ac:dyDescent="0.25">
      <c r="A26" s="116" t="s">
        <v>61</v>
      </c>
      <c r="B26" s="117" t="s">
        <v>62</v>
      </c>
      <c r="C26" s="118" t="s">
        <v>35</v>
      </c>
    </row>
    <row r="27" spans="1:3" x14ac:dyDescent="0.25">
      <c r="A27" s="116" t="s">
        <v>63</v>
      </c>
      <c r="B27" s="117" t="s">
        <v>64</v>
      </c>
      <c r="C27" s="118" t="s">
        <v>35</v>
      </c>
    </row>
    <row r="28" spans="1:3" x14ac:dyDescent="0.25">
      <c r="A28" s="116" t="s">
        <v>65</v>
      </c>
      <c r="B28" s="117" t="s">
        <v>66</v>
      </c>
      <c r="C28" s="118" t="s">
        <v>35</v>
      </c>
    </row>
    <row r="29" spans="1:3" x14ac:dyDescent="0.25">
      <c r="A29" s="116" t="s">
        <v>67</v>
      </c>
      <c r="B29" s="117" t="s">
        <v>68</v>
      </c>
      <c r="C29" s="118" t="s">
        <v>35</v>
      </c>
    </row>
    <row r="30" spans="1:3" x14ac:dyDescent="0.25">
      <c r="A30" s="116" t="s">
        <v>69</v>
      </c>
      <c r="B30" s="117" t="s">
        <v>70</v>
      </c>
      <c r="C30" s="118" t="s">
        <v>35</v>
      </c>
    </row>
    <row r="31" spans="1:3" x14ac:dyDescent="0.25">
      <c r="A31" s="116" t="s">
        <v>71</v>
      </c>
      <c r="B31" s="117" t="s">
        <v>72</v>
      </c>
      <c r="C31" s="118" t="s">
        <v>73</v>
      </c>
    </row>
    <row r="32" spans="1:3" x14ac:dyDescent="0.25">
      <c r="A32" s="116" t="s">
        <v>74</v>
      </c>
      <c r="B32" s="117" t="s">
        <v>75</v>
      </c>
      <c r="C32" s="118" t="s">
        <v>73</v>
      </c>
    </row>
    <row r="33" spans="1:3" ht="13" x14ac:dyDescent="0.25">
      <c r="A33" s="76" t="s">
        <v>76</v>
      </c>
      <c r="B33" s="77"/>
      <c r="C33" s="72" t="s">
        <v>35</v>
      </c>
    </row>
    <row r="34" spans="1:3" x14ac:dyDescent="0.25">
      <c r="A34" s="116" t="s">
        <v>77</v>
      </c>
      <c r="B34" s="117" t="s">
        <v>78</v>
      </c>
      <c r="C34" s="118" t="s">
        <v>73</v>
      </c>
    </row>
    <row r="35" spans="1:3" x14ac:dyDescent="0.25">
      <c r="A35" s="116" t="s">
        <v>79</v>
      </c>
      <c r="B35" s="117" t="s">
        <v>50</v>
      </c>
      <c r="C35" s="118" t="s">
        <v>80</v>
      </c>
    </row>
    <row r="36" spans="1:3" x14ac:dyDescent="0.25">
      <c r="A36" s="116" t="s">
        <v>81</v>
      </c>
      <c r="B36" s="117" t="s">
        <v>48</v>
      </c>
      <c r="C36" s="118" t="s">
        <v>30</v>
      </c>
    </row>
    <row r="37" spans="1:3" x14ac:dyDescent="0.25">
      <c r="A37" s="116" t="s">
        <v>396</v>
      </c>
      <c r="B37" s="117" t="s">
        <v>82</v>
      </c>
      <c r="C37" s="118" t="s">
        <v>73</v>
      </c>
    </row>
    <row r="38" spans="1:3" x14ac:dyDescent="0.25">
      <c r="A38" s="116" t="s">
        <v>83</v>
      </c>
      <c r="B38" s="117" t="s">
        <v>84</v>
      </c>
      <c r="C38" s="118" t="s">
        <v>73</v>
      </c>
    </row>
    <row r="39" spans="1:3" x14ac:dyDescent="0.25">
      <c r="A39" s="116" t="s">
        <v>85</v>
      </c>
      <c r="B39" s="117" t="s">
        <v>86</v>
      </c>
      <c r="C39" s="118" t="s">
        <v>73</v>
      </c>
    </row>
    <row r="40" spans="1:3" x14ac:dyDescent="0.25">
      <c r="A40" s="116" t="s">
        <v>87</v>
      </c>
      <c r="B40" s="117" t="s">
        <v>23</v>
      </c>
      <c r="C40" s="118" t="s">
        <v>73</v>
      </c>
    </row>
  </sheetData>
  <mergeCells count="1">
    <mergeCell ref="A1:U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0"/>
  </sheetPr>
  <dimension ref="A1:J36"/>
  <sheetViews>
    <sheetView tabSelected="1" zoomScale="90" zoomScaleNormal="90" zoomScaleSheetLayoutView="100" workbookViewId="0">
      <selection activeCell="A3" sqref="A3"/>
    </sheetView>
  </sheetViews>
  <sheetFormatPr defaultColWidth="9.1796875" defaultRowHeight="14" outlineLevelRow="1" x14ac:dyDescent="0.25"/>
  <cols>
    <col min="1" max="1" width="26.453125" style="23" customWidth="1"/>
    <col min="2" max="2" width="58.81640625" style="23" customWidth="1"/>
    <col min="3" max="3" width="54.1796875" style="23" customWidth="1"/>
    <col min="4" max="4" width="35.1796875" style="23" customWidth="1"/>
    <col min="5" max="5" width="63.453125" style="23" customWidth="1"/>
    <col min="6" max="6" width="27.7265625" style="23" customWidth="1"/>
    <col min="7" max="7" width="36.453125" style="23" customWidth="1"/>
    <col min="8" max="8" width="34.1796875" style="23" customWidth="1"/>
    <col min="9" max="9" width="37.7265625" style="33" customWidth="1"/>
    <col min="10" max="10" width="16.1796875" style="18" hidden="1" customWidth="1"/>
    <col min="11" max="11" width="15.5429687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39.75" customHeight="1" outlineLevel="1" x14ac:dyDescent="0.25">
      <c r="A3" s="35"/>
      <c r="B3" s="36" t="s">
        <v>97</v>
      </c>
      <c r="C3" s="36" t="s">
        <v>98</v>
      </c>
      <c r="D3" s="36" t="s">
        <v>99</v>
      </c>
      <c r="E3" s="36" t="s">
        <v>100</v>
      </c>
      <c r="F3" s="36" t="s">
        <v>101</v>
      </c>
      <c r="G3" s="36" t="s">
        <v>102</v>
      </c>
      <c r="H3" s="36" t="s">
        <v>103</v>
      </c>
      <c r="I3" s="107" t="s">
        <v>104</v>
      </c>
      <c r="J3" s="37"/>
    </row>
    <row r="4" spans="1:10" s="55" customFormat="1" ht="15.65" customHeight="1" x14ac:dyDescent="0.25">
      <c r="A4" s="81" t="s">
        <v>105</v>
      </c>
      <c r="B4" s="82"/>
      <c r="C4" s="82"/>
      <c r="D4" s="82"/>
      <c r="E4" s="82"/>
      <c r="F4" s="82"/>
      <c r="G4" s="83"/>
      <c r="H4" s="83"/>
      <c r="I4" s="83"/>
    </row>
    <row r="5" spans="1:10" ht="25" customHeight="1" x14ac:dyDescent="0.25">
      <c r="A5" s="21" t="s">
        <v>106</v>
      </c>
      <c r="B5" s="24" t="str">
        <f t="shared" ref="B5:I5" si="0">B$2</f>
        <v>Concept Name</v>
      </c>
      <c r="C5" s="24" t="str">
        <f t="shared" si="0"/>
        <v>Display Term in RV</v>
      </c>
      <c r="D5" s="24" t="str">
        <f t="shared" si="0"/>
        <v>Standard Code In Message</v>
      </c>
      <c r="E5" s="24" t="str">
        <f t="shared" si="0"/>
        <v>Standard Name in Message</v>
      </c>
      <c r="F5" s="24" t="str">
        <f t="shared" si="0"/>
        <v>Code System</v>
      </c>
      <c r="G5" s="24" t="str">
        <f t="shared" si="0"/>
        <v>Code System OID</v>
      </c>
      <c r="H5" s="24" t="str">
        <f t="shared" si="0"/>
        <v>HL70396 value</v>
      </c>
      <c r="I5" s="24" t="str">
        <f t="shared" si="0"/>
        <v>Notes</v>
      </c>
    </row>
    <row r="6" spans="1:10" ht="25" customHeight="1" outlineLevel="1" x14ac:dyDescent="0.25">
      <c r="A6" s="19"/>
      <c r="B6" s="22" t="s">
        <v>107</v>
      </c>
      <c r="C6" s="19" t="s">
        <v>107</v>
      </c>
      <c r="D6" s="19" t="s">
        <v>108</v>
      </c>
      <c r="E6" s="19" t="s">
        <v>107</v>
      </c>
      <c r="F6" s="19" t="s">
        <v>109</v>
      </c>
      <c r="G6" s="19" t="s">
        <v>110</v>
      </c>
      <c r="H6" s="19" t="s">
        <v>111</v>
      </c>
      <c r="I6" s="34"/>
      <c r="J6" s="30"/>
    </row>
    <row r="7" spans="1:10" s="27" customFormat="1" ht="14.15" customHeight="1" x14ac:dyDescent="0.25">
      <c r="A7" s="25"/>
      <c r="B7" s="25"/>
      <c r="C7" s="25"/>
      <c r="D7" s="25"/>
      <c r="E7" s="25"/>
      <c r="F7" s="25"/>
    </row>
    <row r="8" spans="1:10" ht="25" customHeight="1" x14ac:dyDescent="0.25">
      <c r="A8" s="99" t="s">
        <v>112</v>
      </c>
      <c r="B8" s="24" t="str">
        <f t="shared" ref="B8:H8" si="1">B$2</f>
        <v>Concept Name</v>
      </c>
      <c r="C8" s="24" t="str">
        <f t="shared" si="1"/>
        <v>Display Term in RV</v>
      </c>
      <c r="D8" s="24" t="str">
        <f t="shared" si="1"/>
        <v>Standard Code In Message</v>
      </c>
      <c r="E8" s="24" t="str">
        <f t="shared" si="1"/>
        <v>Standard Name in Message</v>
      </c>
      <c r="F8" s="24" t="str">
        <f t="shared" si="1"/>
        <v>Code System</v>
      </c>
      <c r="G8" s="24" t="str">
        <f t="shared" si="1"/>
        <v>Code System OID</v>
      </c>
      <c r="H8" s="24" t="str">
        <f t="shared" si="1"/>
        <v>HL70396 value</v>
      </c>
      <c r="I8" s="24" t="str">
        <f t="shared" ref="I8" si="2">I$2</f>
        <v>Notes</v>
      </c>
    </row>
    <row r="9" spans="1:10" ht="25" customHeight="1" outlineLevel="1" x14ac:dyDescent="0.25">
      <c r="A9" s="19"/>
      <c r="B9" s="87" t="s">
        <v>113</v>
      </c>
      <c r="C9" s="87" t="s">
        <v>113</v>
      </c>
      <c r="D9" s="19" t="s">
        <v>114</v>
      </c>
      <c r="E9" s="87" t="s">
        <v>113</v>
      </c>
      <c r="F9" s="20" t="s">
        <v>115</v>
      </c>
      <c r="G9" s="20" t="s">
        <v>116</v>
      </c>
      <c r="H9" s="20" t="s">
        <v>117</v>
      </c>
      <c r="I9" s="32"/>
      <c r="J9" s="30"/>
    </row>
    <row r="10" spans="1:10" ht="25" customHeight="1" outlineLevel="1" x14ac:dyDescent="0.25">
      <c r="A10" s="19"/>
      <c r="B10" s="84" t="s">
        <v>118</v>
      </c>
      <c r="C10" s="84" t="s">
        <v>118</v>
      </c>
      <c r="D10" s="19" t="s">
        <v>119</v>
      </c>
      <c r="E10" s="84" t="s">
        <v>118</v>
      </c>
      <c r="F10" s="19" t="s">
        <v>109</v>
      </c>
      <c r="G10" s="19" t="s">
        <v>110</v>
      </c>
      <c r="H10" s="19" t="s">
        <v>111</v>
      </c>
      <c r="I10" s="32"/>
      <c r="J10" s="30"/>
    </row>
    <row r="11" spans="1:10" ht="25" customHeight="1" outlineLevel="1" x14ac:dyDescent="0.25">
      <c r="A11" s="19"/>
      <c r="B11" s="22" t="s">
        <v>120</v>
      </c>
      <c r="C11" s="22" t="s">
        <v>120</v>
      </c>
      <c r="D11" s="19" t="s">
        <v>121</v>
      </c>
      <c r="E11" s="22" t="s">
        <v>120</v>
      </c>
      <c r="F11" s="20" t="s">
        <v>115</v>
      </c>
      <c r="G11" s="20" t="s">
        <v>116</v>
      </c>
      <c r="H11" s="20" t="s">
        <v>117</v>
      </c>
      <c r="I11" s="31"/>
      <c r="J11" s="30"/>
    </row>
    <row r="12" spans="1:10" ht="25" customHeight="1" outlineLevel="1" x14ac:dyDescent="0.25">
      <c r="A12" s="19"/>
      <c r="B12" s="84" t="s">
        <v>122</v>
      </c>
      <c r="C12" s="84" t="s">
        <v>122</v>
      </c>
      <c r="D12" s="19" t="s">
        <v>123</v>
      </c>
      <c r="E12" s="84" t="s">
        <v>122</v>
      </c>
      <c r="F12" s="20" t="s">
        <v>115</v>
      </c>
      <c r="G12" s="20" t="s">
        <v>116</v>
      </c>
      <c r="H12" s="20" t="s">
        <v>117</v>
      </c>
      <c r="I12" s="31"/>
      <c r="J12" s="30"/>
    </row>
    <row r="13" spans="1:10" ht="25" customHeight="1" outlineLevel="1" x14ac:dyDescent="0.25">
      <c r="A13" s="19"/>
      <c r="B13" s="84" t="s">
        <v>124</v>
      </c>
      <c r="C13" s="84" t="s">
        <v>124</v>
      </c>
      <c r="D13" s="19" t="s">
        <v>125</v>
      </c>
      <c r="E13" s="84" t="s">
        <v>124</v>
      </c>
      <c r="F13" s="20" t="s">
        <v>115</v>
      </c>
      <c r="G13" s="20" t="s">
        <v>116</v>
      </c>
      <c r="H13" s="20" t="s">
        <v>117</v>
      </c>
      <c r="I13" s="32"/>
      <c r="J13" s="30"/>
    </row>
    <row r="14" spans="1:10" ht="25" customHeight="1" outlineLevel="1" x14ac:dyDescent="0.25">
      <c r="A14" s="19"/>
      <c r="B14" s="84" t="s">
        <v>126</v>
      </c>
      <c r="C14" s="84" t="s">
        <v>126</v>
      </c>
      <c r="D14" s="19" t="s">
        <v>127</v>
      </c>
      <c r="E14" s="84" t="s">
        <v>126</v>
      </c>
      <c r="F14" s="20" t="s">
        <v>115</v>
      </c>
      <c r="G14" s="20" t="s">
        <v>116</v>
      </c>
      <c r="H14" s="20" t="s">
        <v>117</v>
      </c>
      <c r="I14" s="32"/>
      <c r="J14" s="30"/>
    </row>
    <row r="15" spans="1:10" ht="25" customHeight="1" outlineLevel="1" x14ac:dyDescent="0.25">
      <c r="A15" s="19"/>
      <c r="B15" s="84" t="s">
        <v>128</v>
      </c>
      <c r="C15" s="84" t="s">
        <v>128</v>
      </c>
      <c r="D15" s="19" t="s">
        <v>129</v>
      </c>
      <c r="E15" s="84" t="s">
        <v>128</v>
      </c>
      <c r="F15" s="20" t="s">
        <v>115</v>
      </c>
      <c r="G15" s="20" t="s">
        <v>116</v>
      </c>
      <c r="H15" s="20" t="s">
        <v>117</v>
      </c>
      <c r="I15" s="31"/>
      <c r="J15" s="30"/>
    </row>
    <row r="16" spans="1:10" ht="25" customHeight="1" outlineLevel="1" x14ac:dyDescent="0.25">
      <c r="A16" s="19"/>
      <c r="B16" s="84" t="s">
        <v>130</v>
      </c>
      <c r="C16" s="84" t="s">
        <v>130</v>
      </c>
      <c r="D16" s="19" t="s">
        <v>131</v>
      </c>
      <c r="E16" s="84" t="s">
        <v>130</v>
      </c>
      <c r="F16" s="20" t="s">
        <v>115</v>
      </c>
      <c r="G16" s="20" t="s">
        <v>116</v>
      </c>
      <c r="H16" s="20" t="s">
        <v>117</v>
      </c>
      <c r="I16" s="32"/>
      <c r="J16" s="30"/>
    </row>
    <row r="17" spans="1:10" ht="25" customHeight="1" outlineLevel="1" x14ac:dyDescent="0.25">
      <c r="A17" s="19"/>
      <c r="B17" s="84" t="s">
        <v>132</v>
      </c>
      <c r="C17" s="84" t="s">
        <v>132</v>
      </c>
      <c r="D17" s="19" t="s">
        <v>133</v>
      </c>
      <c r="E17" s="84" t="s">
        <v>132</v>
      </c>
      <c r="F17" s="20" t="s">
        <v>115</v>
      </c>
      <c r="G17" s="20" t="s">
        <v>116</v>
      </c>
      <c r="H17" s="20" t="s">
        <v>117</v>
      </c>
      <c r="I17" s="31"/>
      <c r="J17" s="30"/>
    </row>
    <row r="18" spans="1:10" ht="25" customHeight="1" x14ac:dyDescent="0.25">
      <c r="A18" s="21" t="s">
        <v>26</v>
      </c>
      <c r="B18" s="24"/>
      <c r="C18" s="24"/>
      <c r="D18" s="24"/>
      <c r="E18" s="24"/>
      <c r="F18" s="24" t="str">
        <f t="shared" ref="F18:H18" si="3">F$2</f>
        <v>Code System</v>
      </c>
      <c r="G18" s="24" t="str">
        <f t="shared" si="3"/>
        <v>Code System OID</v>
      </c>
      <c r="H18" s="24" t="str">
        <f t="shared" si="3"/>
        <v>HL70396 value</v>
      </c>
      <c r="I18" s="24" t="str">
        <f t="shared" ref="I18" si="4">I$2</f>
        <v>Notes</v>
      </c>
    </row>
    <row r="19" spans="1:10" ht="17.5" customHeight="1" outlineLevel="1" x14ac:dyDescent="0.25">
      <c r="A19" s="144" t="s">
        <v>134</v>
      </c>
      <c r="B19" s="145"/>
      <c r="C19" s="145"/>
      <c r="D19" s="145"/>
      <c r="E19" s="145"/>
      <c r="F19" s="145"/>
      <c r="G19" s="145"/>
      <c r="H19" s="145"/>
      <c r="I19" s="146"/>
      <c r="J19" s="30"/>
    </row>
    <row r="20" spans="1:10" ht="25" customHeight="1" x14ac:dyDescent="0.25">
      <c r="A20" s="21" t="s">
        <v>31</v>
      </c>
      <c r="B20" s="24" t="str">
        <f t="shared" ref="B20:H20" si="5">B$2</f>
        <v>Concept Name</v>
      </c>
      <c r="C20" s="24" t="str">
        <f t="shared" si="5"/>
        <v>Display Term in RV</v>
      </c>
      <c r="D20" s="24" t="str">
        <f t="shared" si="5"/>
        <v>Standard Code In Message</v>
      </c>
      <c r="E20" s="24" t="str">
        <f t="shared" si="5"/>
        <v>Standard Name in Message</v>
      </c>
      <c r="F20" s="24" t="str">
        <f t="shared" si="5"/>
        <v>Code System</v>
      </c>
      <c r="G20" s="24" t="str">
        <f t="shared" si="5"/>
        <v>Code System OID</v>
      </c>
      <c r="H20" s="24" t="str">
        <f t="shared" si="5"/>
        <v>HL70396 value</v>
      </c>
      <c r="I20" s="24" t="str">
        <f t="shared" ref="I20" si="6">I$2</f>
        <v>Notes</v>
      </c>
    </row>
    <row r="21" spans="1:10" ht="17.5" customHeight="1" outlineLevel="1" x14ac:dyDescent="0.25">
      <c r="A21" s="144" t="s">
        <v>135</v>
      </c>
      <c r="B21" s="145"/>
      <c r="C21" s="145"/>
      <c r="D21" s="145"/>
      <c r="E21" s="145"/>
      <c r="F21" s="145"/>
      <c r="G21" s="145"/>
      <c r="H21" s="145"/>
      <c r="I21" s="146"/>
      <c r="J21" s="30"/>
    </row>
    <row r="22" spans="1:10" s="27" customFormat="1" x14ac:dyDescent="0.25">
      <c r="A22" s="25"/>
      <c r="B22" s="25"/>
      <c r="C22" s="25"/>
      <c r="D22" s="25"/>
      <c r="E22" s="25"/>
      <c r="F22" s="25"/>
    </row>
    <row r="23" spans="1:10" s="55" customFormat="1" ht="14.15" customHeight="1" x14ac:dyDescent="0.25">
      <c r="A23" s="81" t="s">
        <v>136</v>
      </c>
      <c r="B23" s="82"/>
      <c r="C23" s="82"/>
      <c r="D23" s="82"/>
      <c r="E23" s="82"/>
      <c r="F23" s="82"/>
      <c r="G23" s="83"/>
      <c r="H23" s="83"/>
      <c r="I23" s="83"/>
    </row>
    <row r="25" spans="1:10" ht="25" customHeight="1" x14ac:dyDescent="0.25">
      <c r="A25" s="21" t="s">
        <v>106</v>
      </c>
      <c r="B25" s="24" t="str">
        <f>B$2</f>
        <v>Concept Name</v>
      </c>
      <c r="C25" s="24" t="str">
        <f t="shared" ref="C25:I25" si="7">C$2</f>
        <v>Display Term in RV</v>
      </c>
      <c r="D25" s="24" t="str">
        <f t="shared" si="7"/>
        <v>Standard Code In Message</v>
      </c>
      <c r="E25" s="24" t="str">
        <f t="shared" si="7"/>
        <v>Standard Name in Message</v>
      </c>
      <c r="F25" s="24" t="str">
        <f t="shared" si="7"/>
        <v>Code System</v>
      </c>
      <c r="G25" s="24" t="str">
        <f t="shared" si="7"/>
        <v>Code System OID</v>
      </c>
      <c r="H25" s="24" t="str">
        <f t="shared" si="7"/>
        <v>HL70396 value</v>
      </c>
      <c r="I25" s="24" t="str">
        <f t="shared" si="7"/>
        <v>Notes</v>
      </c>
    </row>
    <row r="26" spans="1:10" ht="25" customHeight="1" outlineLevel="1" x14ac:dyDescent="0.25">
      <c r="A26" s="19"/>
      <c r="B26" s="22" t="s">
        <v>107</v>
      </c>
      <c r="C26" s="19" t="s">
        <v>107</v>
      </c>
      <c r="D26" s="19" t="s">
        <v>108</v>
      </c>
      <c r="E26" s="19" t="s">
        <v>107</v>
      </c>
      <c r="F26" s="19" t="s">
        <v>109</v>
      </c>
      <c r="G26" s="19" t="s">
        <v>110</v>
      </c>
      <c r="H26" s="19" t="s">
        <v>111</v>
      </c>
      <c r="I26" s="34"/>
      <c r="J26" s="30"/>
    </row>
    <row r="27" spans="1:10" s="27" customFormat="1" ht="14.15" customHeight="1" x14ac:dyDescent="0.25">
      <c r="A27" s="25"/>
      <c r="B27" s="25"/>
      <c r="C27" s="25"/>
      <c r="D27" s="25"/>
      <c r="E27" s="25"/>
      <c r="F27" s="25"/>
    </row>
    <row r="28" spans="1:10" ht="25" customHeight="1" x14ac:dyDescent="0.25">
      <c r="A28" s="99" t="s">
        <v>112</v>
      </c>
      <c r="B28" s="24" t="str">
        <f t="shared" ref="B28:I28" si="8">B$2</f>
        <v>Concept Name</v>
      </c>
      <c r="C28" s="24" t="str">
        <f t="shared" si="8"/>
        <v>Display Term in RV</v>
      </c>
      <c r="D28" s="24" t="str">
        <f t="shared" si="8"/>
        <v>Standard Code In Message</v>
      </c>
      <c r="E28" s="24" t="str">
        <f t="shared" si="8"/>
        <v>Standard Name in Message</v>
      </c>
      <c r="F28" s="24" t="str">
        <f t="shared" si="8"/>
        <v>Code System</v>
      </c>
      <c r="G28" s="24" t="str">
        <f t="shared" si="8"/>
        <v>Code System OID</v>
      </c>
      <c r="H28" s="24" t="str">
        <f t="shared" si="8"/>
        <v>HL70396 value</v>
      </c>
      <c r="I28" s="24" t="str">
        <f t="shared" si="8"/>
        <v>Notes</v>
      </c>
    </row>
    <row r="29" spans="1:10" ht="25" customHeight="1" outlineLevel="1" x14ac:dyDescent="0.25">
      <c r="A29" s="19"/>
      <c r="B29" s="84" t="s">
        <v>137</v>
      </c>
      <c r="C29" s="84" t="s">
        <v>137</v>
      </c>
      <c r="D29" s="19" t="s">
        <v>138</v>
      </c>
      <c r="E29" s="84" t="s">
        <v>137</v>
      </c>
      <c r="F29" s="19" t="s">
        <v>109</v>
      </c>
      <c r="G29" s="19" t="s">
        <v>110</v>
      </c>
      <c r="H29" s="19" t="s">
        <v>111</v>
      </c>
      <c r="I29" s="32"/>
      <c r="J29" s="30"/>
    </row>
    <row r="30" spans="1:10" ht="25" customHeight="1" outlineLevel="1" x14ac:dyDescent="0.25">
      <c r="A30" s="25"/>
      <c r="B30" s="84" t="s">
        <v>139</v>
      </c>
      <c r="C30" s="84" t="s">
        <v>139</v>
      </c>
      <c r="D30" s="19" t="s">
        <v>140</v>
      </c>
      <c r="E30" s="84" t="s">
        <v>139</v>
      </c>
      <c r="F30" s="19" t="s">
        <v>109</v>
      </c>
      <c r="G30" s="19" t="s">
        <v>110</v>
      </c>
      <c r="H30" s="19" t="s">
        <v>111</v>
      </c>
      <c r="I30" s="32"/>
      <c r="J30" s="30"/>
    </row>
    <row r="31" spans="1:10" ht="25" customHeight="1" outlineLevel="1" x14ac:dyDescent="0.25">
      <c r="A31" s="25"/>
      <c r="B31" s="84" t="s">
        <v>141</v>
      </c>
      <c r="C31" s="84" t="s">
        <v>141</v>
      </c>
      <c r="D31" s="19" t="s">
        <v>142</v>
      </c>
      <c r="E31" s="84" t="s">
        <v>141</v>
      </c>
      <c r="F31" s="19" t="s">
        <v>109</v>
      </c>
      <c r="G31" s="19" t="s">
        <v>110</v>
      </c>
      <c r="H31" s="19" t="s">
        <v>111</v>
      </c>
      <c r="I31" s="32"/>
      <c r="J31" s="30"/>
    </row>
    <row r="32" spans="1:10" ht="25" customHeight="1" outlineLevel="1" x14ac:dyDescent="0.25">
      <c r="A32" s="25"/>
      <c r="B32" s="84" t="s">
        <v>143</v>
      </c>
      <c r="C32" s="84" t="s">
        <v>143</v>
      </c>
      <c r="D32" s="19" t="s">
        <v>144</v>
      </c>
      <c r="E32" s="84" t="s">
        <v>143</v>
      </c>
      <c r="F32" s="19" t="s">
        <v>109</v>
      </c>
      <c r="G32" s="19" t="s">
        <v>110</v>
      </c>
      <c r="H32" s="19" t="s">
        <v>111</v>
      </c>
      <c r="I32" s="32"/>
      <c r="J32" s="30"/>
    </row>
    <row r="33" spans="1:10" ht="25" customHeight="1" x14ac:dyDescent="0.25">
      <c r="A33" s="21" t="s">
        <v>26</v>
      </c>
      <c r="B33" s="24"/>
      <c r="C33" s="24"/>
      <c r="D33" s="24"/>
      <c r="E33" s="24"/>
      <c r="F33" s="24" t="str">
        <f t="shared" ref="F33:I33" si="9">F$2</f>
        <v>Code System</v>
      </c>
      <c r="G33" s="24" t="str">
        <f t="shared" si="9"/>
        <v>Code System OID</v>
      </c>
      <c r="H33" s="24" t="str">
        <f t="shared" si="9"/>
        <v>HL70396 value</v>
      </c>
      <c r="I33" s="24" t="str">
        <f t="shared" si="9"/>
        <v>Notes</v>
      </c>
    </row>
    <row r="34" spans="1:10" ht="17.5" customHeight="1" outlineLevel="1" x14ac:dyDescent="0.25">
      <c r="A34" s="144" t="s">
        <v>134</v>
      </c>
      <c r="B34" s="145"/>
      <c r="C34" s="145"/>
      <c r="D34" s="145"/>
      <c r="E34" s="145"/>
      <c r="F34" s="145"/>
      <c r="G34" s="145"/>
      <c r="H34" s="145"/>
      <c r="I34" s="146"/>
      <c r="J34" s="30"/>
    </row>
    <row r="35" spans="1:10" ht="25" customHeight="1" x14ac:dyDescent="0.25">
      <c r="A35" s="21" t="s">
        <v>31</v>
      </c>
      <c r="B35" s="24" t="str">
        <f t="shared" ref="B35:I35" si="10">B$2</f>
        <v>Concept Name</v>
      </c>
      <c r="C35" s="24" t="str">
        <f t="shared" si="10"/>
        <v>Display Term in RV</v>
      </c>
      <c r="D35" s="24" t="str">
        <f t="shared" si="10"/>
        <v>Standard Code In Message</v>
      </c>
      <c r="E35" s="24" t="str">
        <f t="shared" si="10"/>
        <v>Standard Name in Message</v>
      </c>
      <c r="F35" s="24" t="str">
        <f t="shared" si="10"/>
        <v>Code System</v>
      </c>
      <c r="G35" s="24" t="str">
        <f t="shared" si="10"/>
        <v>Code System OID</v>
      </c>
      <c r="H35" s="24" t="str">
        <f t="shared" si="10"/>
        <v>HL70396 value</v>
      </c>
      <c r="I35" s="24" t="str">
        <f t="shared" si="10"/>
        <v>Notes</v>
      </c>
    </row>
    <row r="36" spans="1:10" ht="17.5" customHeight="1" outlineLevel="1" x14ac:dyDescent="0.25">
      <c r="A36" s="144" t="s">
        <v>135</v>
      </c>
      <c r="B36" s="145"/>
      <c r="C36" s="145"/>
      <c r="D36" s="145"/>
      <c r="E36" s="145"/>
      <c r="F36" s="145"/>
      <c r="G36" s="145"/>
      <c r="H36" s="145"/>
      <c r="I36" s="146"/>
      <c r="J36" s="30"/>
    </row>
  </sheetData>
  <mergeCells count="5">
    <mergeCell ref="A36:I36"/>
    <mergeCell ref="A1:J1"/>
    <mergeCell ref="A19:I19"/>
    <mergeCell ref="A21:I21"/>
    <mergeCell ref="A34:I34"/>
  </mergeCells>
  <phoneticPr fontId="4" type="noConversion"/>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rowBreaks count="1" manualBreakCount="1">
    <brk id="17" max="1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B1CE-CF7A-4C24-BEF1-693B5C55D8CA}">
  <sheetPr>
    <tabColor theme="0"/>
  </sheetPr>
  <dimension ref="A1:J24"/>
  <sheetViews>
    <sheetView zoomScale="90" zoomScaleNormal="90" zoomScaleSheetLayoutView="100" workbookViewId="0">
      <selection activeCell="A3" sqref="A3"/>
    </sheetView>
  </sheetViews>
  <sheetFormatPr defaultColWidth="9.1796875" defaultRowHeight="14" outlineLevelRow="1" x14ac:dyDescent="0.25"/>
  <cols>
    <col min="1" max="1" width="26.453125" style="23" customWidth="1"/>
    <col min="2" max="2" width="62.1796875" style="23" customWidth="1"/>
    <col min="3" max="3" width="54.1796875" style="23" customWidth="1"/>
    <col min="4" max="4" width="35.1796875" style="23" customWidth="1"/>
    <col min="5" max="5" width="58.7265625" style="23" customWidth="1"/>
    <col min="6" max="6" width="27.7265625" style="23" customWidth="1"/>
    <col min="7" max="7" width="36.453125" style="23" customWidth="1"/>
    <col min="8" max="8" width="34.1796875" style="23" customWidth="1"/>
    <col min="9" max="9" width="64.54296875" style="33" customWidth="1"/>
    <col min="10" max="10" width="1.81640625" style="18" customWidth="1"/>
    <col min="11" max="11" width="27.726562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28" outlineLevel="1" x14ac:dyDescent="0.25">
      <c r="A3" s="35"/>
      <c r="B3" s="36" t="s">
        <v>97</v>
      </c>
      <c r="C3" s="36" t="s">
        <v>98</v>
      </c>
      <c r="D3" s="36" t="s">
        <v>99</v>
      </c>
      <c r="E3" s="36" t="s">
        <v>100</v>
      </c>
      <c r="F3" s="36" t="s">
        <v>101</v>
      </c>
      <c r="G3" s="36" t="s">
        <v>102</v>
      </c>
      <c r="H3" s="36" t="s">
        <v>103</v>
      </c>
      <c r="I3" s="107" t="s">
        <v>104</v>
      </c>
      <c r="J3" s="37"/>
    </row>
    <row r="4" spans="1:10" s="55" customFormat="1" ht="14.15" customHeight="1" x14ac:dyDescent="0.25">
      <c r="A4" s="81" t="s">
        <v>145</v>
      </c>
      <c r="B4" s="82"/>
      <c r="C4" s="82"/>
      <c r="D4" s="82"/>
      <c r="E4" s="82"/>
      <c r="F4" s="82"/>
      <c r="G4" s="83"/>
      <c r="H4" s="83"/>
      <c r="I4" s="83"/>
    </row>
    <row r="6" spans="1:10" ht="25" customHeight="1" x14ac:dyDescent="0.25">
      <c r="A6" s="21" t="s">
        <v>106</v>
      </c>
      <c r="B6" s="24" t="str">
        <f t="shared" ref="B6:I6" si="0">B$2</f>
        <v>Concept Name</v>
      </c>
      <c r="C6" s="24" t="str">
        <f t="shared" si="0"/>
        <v>Display Term in RV</v>
      </c>
      <c r="D6" s="24" t="str">
        <f t="shared" si="0"/>
        <v>Standard Code In Message</v>
      </c>
      <c r="E6" s="24" t="str">
        <f t="shared" si="0"/>
        <v>Standard Name in Message</v>
      </c>
      <c r="F6" s="24" t="str">
        <f t="shared" si="0"/>
        <v>Code System</v>
      </c>
      <c r="G6" s="24" t="str">
        <f t="shared" si="0"/>
        <v>Code System OID</v>
      </c>
      <c r="H6" s="24" t="str">
        <f t="shared" si="0"/>
        <v>HL70396 value</v>
      </c>
      <c r="I6" s="24" t="str">
        <f t="shared" si="0"/>
        <v>Notes</v>
      </c>
    </row>
    <row r="7" spans="1:10" ht="25" customHeight="1" outlineLevel="1" x14ac:dyDescent="0.25">
      <c r="A7" s="19"/>
      <c r="B7" s="22" t="s">
        <v>146</v>
      </c>
      <c r="C7" s="19" t="s">
        <v>146</v>
      </c>
      <c r="D7" s="19" t="s">
        <v>147</v>
      </c>
      <c r="E7" s="19" t="s">
        <v>146</v>
      </c>
      <c r="F7" s="19" t="s">
        <v>109</v>
      </c>
      <c r="G7" s="19" t="s">
        <v>110</v>
      </c>
      <c r="H7" s="19" t="s">
        <v>111</v>
      </c>
      <c r="I7" s="34"/>
      <c r="J7" s="30"/>
    </row>
    <row r="8" spans="1:10" s="27" customFormat="1" ht="14.15" customHeight="1" x14ac:dyDescent="0.25">
      <c r="A8" s="25"/>
      <c r="B8" s="25"/>
      <c r="C8" s="25"/>
      <c r="D8" s="25"/>
      <c r="E8" s="25"/>
      <c r="F8" s="25"/>
    </row>
    <row r="9" spans="1:10" ht="33.65" customHeight="1" x14ac:dyDescent="0.25">
      <c r="A9" s="99" t="s">
        <v>112</v>
      </c>
      <c r="B9" s="24" t="str">
        <f t="shared" ref="B9:I9" si="1">B$2</f>
        <v>Concept Name</v>
      </c>
      <c r="C9" s="24" t="str">
        <f t="shared" si="1"/>
        <v>Display Term in RV</v>
      </c>
      <c r="D9" s="24" t="str">
        <f t="shared" si="1"/>
        <v>Standard Code In Message</v>
      </c>
      <c r="E9" s="24" t="str">
        <f t="shared" si="1"/>
        <v>Standard Name in Message</v>
      </c>
      <c r="F9" s="24" t="str">
        <f t="shared" si="1"/>
        <v>Code System</v>
      </c>
      <c r="G9" s="24" t="str">
        <f t="shared" si="1"/>
        <v>Code System OID</v>
      </c>
      <c r="H9" s="24" t="str">
        <f t="shared" si="1"/>
        <v>HL70396 value</v>
      </c>
      <c r="I9" s="24" t="str">
        <f t="shared" si="1"/>
        <v>Notes</v>
      </c>
    </row>
    <row r="10" spans="1:10" ht="35.15" customHeight="1" outlineLevel="1" x14ac:dyDescent="0.25">
      <c r="A10" s="19"/>
      <c r="B10" s="22" t="s">
        <v>148</v>
      </c>
      <c r="C10" s="22" t="s">
        <v>148</v>
      </c>
      <c r="D10" s="19" t="s">
        <v>149</v>
      </c>
      <c r="E10" s="22" t="s">
        <v>148</v>
      </c>
      <c r="F10" s="19" t="s">
        <v>109</v>
      </c>
      <c r="G10" s="19" t="s">
        <v>110</v>
      </c>
      <c r="H10" s="19" t="s">
        <v>111</v>
      </c>
      <c r="I10" s="31"/>
      <c r="J10" s="30"/>
    </row>
    <row r="11" spans="1:10" ht="35.15" customHeight="1" outlineLevel="1" x14ac:dyDescent="0.25">
      <c r="A11" s="25"/>
      <c r="B11" s="106" t="s">
        <v>150</v>
      </c>
      <c r="C11" s="106" t="s">
        <v>150</v>
      </c>
      <c r="D11" s="19" t="s">
        <v>151</v>
      </c>
      <c r="E11" s="106" t="s">
        <v>150</v>
      </c>
      <c r="F11" s="20" t="s">
        <v>115</v>
      </c>
      <c r="G11" s="20" t="s">
        <v>116</v>
      </c>
      <c r="H11" s="20" t="s">
        <v>117</v>
      </c>
      <c r="I11" s="31"/>
      <c r="J11" s="30"/>
    </row>
    <row r="12" spans="1:10" ht="35.15" customHeight="1" outlineLevel="1" x14ac:dyDescent="0.25">
      <c r="A12" s="19"/>
      <c r="B12" s="22" t="s">
        <v>152</v>
      </c>
      <c r="C12" s="22" t="s">
        <v>152</v>
      </c>
      <c r="D12" s="19" t="s">
        <v>153</v>
      </c>
      <c r="E12" s="22" t="s">
        <v>152</v>
      </c>
      <c r="F12" s="20" t="s">
        <v>115</v>
      </c>
      <c r="G12" s="20" t="s">
        <v>116</v>
      </c>
      <c r="H12" s="20" t="s">
        <v>117</v>
      </c>
      <c r="I12" s="31"/>
      <c r="J12" s="30"/>
    </row>
    <row r="13" spans="1:10" ht="35.15" customHeight="1" outlineLevel="1" x14ac:dyDescent="0.25">
      <c r="A13" s="19"/>
      <c r="B13" s="22" t="s">
        <v>154</v>
      </c>
      <c r="C13" s="22" t="s">
        <v>154</v>
      </c>
      <c r="D13" s="19" t="s">
        <v>155</v>
      </c>
      <c r="E13" s="22" t="s">
        <v>154</v>
      </c>
      <c r="F13" s="19" t="s">
        <v>109</v>
      </c>
      <c r="G13" s="19" t="s">
        <v>110</v>
      </c>
      <c r="H13" s="19" t="s">
        <v>111</v>
      </c>
      <c r="I13" s="31"/>
      <c r="J13" s="30"/>
    </row>
    <row r="14" spans="1:10" ht="35.15" customHeight="1" outlineLevel="1" x14ac:dyDescent="0.25">
      <c r="A14" s="19"/>
      <c r="B14" s="22" t="s">
        <v>156</v>
      </c>
      <c r="C14" s="22" t="s">
        <v>156</v>
      </c>
      <c r="D14" s="19" t="s">
        <v>157</v>
      </c>
      <c r="E14" s="22" t="s">
        <v>156</v>
      </c>
      <c r="F14" s="19" t="s">
        <v>109</v>
      </c>
      <c r="G14" s="19" t="s">
        <v>110</v>
      </c>
      <c r="H14" s="19" t="s">
        <v>111</v>
      </c>
      <c r="I14" s="31"/>
      <c r="J14" s="30"/>
    </row>
    <row r="15" spans="1:10" ht="35.15" customHeight="1" outlineLevel="1" x14ac:dyDescent="0.25">
      <c r="A15" s="19"/>
      <c r="B15" s="22" t="s">
        <v>158</v>
      </c>
      <c r="C15" s="22" t="s">
        <v>158</v>
      </c>
      <c r="D15" s="19" t="s">
        <v>159</v>
      </c>
      <c r="E15" s="22" t="s">
        <v>158</v>
      </c>
      <c r="F15" s="19" t="s">
        <v>109</v>
      </c>
      <c r="G15" s="19" t="s">
        <v>110</v>
      </c>
      <c r="H15" s="19" t="s">
        <v>111</v>
      </c>
      <c r="I15" s="31"/>
      <c r="J15" s="30"/>
    </row>
    <row r="16" spans="1:10" ht="35.15" customHeight="1" outlineLevel="1" x14ac:dyDescent="0.25">
      <c r="A16" s="19"/>
      <c r="B16" s="22" t="s">
        <v>160</v>
      </c>
      <c r="C16" s="22" t="s">
        <v>160</v>
      </c>
      <c r="D16" s="19" t="s">
        <v>161</v>
      </c>
      <c r="E16" s="22" t="s">
        <v>160</v>
      </c>
      <c r="F16" s="19" t="s">
        <v>109</v>
      </c>
      <c r="G16" s="19" t="s">
        <v>110</v>
      </c>
      <c r="H16" s="19" t="s">
        <v>111</v>
      </c>
      <c r="I16" s="31"/>
      <c r="J16" s="30"/>
    </row>
    <row r="17" spans="1:10" ht="35.15" customHeight="1" outlineLevel="1" x14ac:dyDescent="0.25">
      <c r="A17" s="25"/>
      <c r="B17" s="106" t="s">
        <v>162</v>
      </c>
      <c r="C17" s="106" t="s">
        <v>162</v>
      </c>
      <c r="D17" s="19" t="s">
        <v>163</v>
      </c>
      <c r="E17" s="106" t="s">
        <v>162</v>
      </c>
      <c r="F17" s="19" t="s">
        <v>109</v>
      </c>
      <c r="G17" s="19" t="s">
        <v>110</v>
      </c>
      <c r="H17" s="19" t="s">
        <v>111</v>
      </c>
      <c r="I17" s="31"/>
      <c r="J17" s="30"/>
    </row>
    <row r="18" spans="1:10" ht="35.15" customHeight="1" outlineLevel="1" x14ac:dyDescent="0.25">
      <c r="A18" s="19"/>
      <c r="B18" s="22" t="s">
        <v>164</v>
      </c>
      <c r="C18" s="22" t="s">
        <v>164</v>
      </c>
      <c r="D18" s="19" t="s">
        <v>165</v>
      </c>
      <c r="E18" s="22" t="s">
        <v>164</v>
      </c>
      <c r="F18" s="19" t="s">
        <v>109</v>
      </c>
      <c r="G18" s="19" t="s">
        <v>110</v>
      </c>
      <c r="H18" s="19" t="s">
        <v>111</v>
      </c>
      <c r="I18" s="31"/>
      <c r="J18" s="30"/>
    </row>
    <row r="19" spans="1:10" ht="35.15" customHeight="1" outlineLevel="1" x14ac:dyDescent="0.25">
      <c r="A19" s="25"/>
      <c r="B19" s="22" t="s">
        <v>166</v>
      </c>
      <c r="C19" s="22" t="s">
        <v>166</v>
      </c>
      <c r="D19" s="19" t="s">
        <v>167</v>
      </c>
      <c r="E19" s="22" t="s">
        <v>166</v>
      </c>
      <c r="F19" s="19" t="s">
        <v>109</v>
      </c>
      <c r="G19" s="19" t="s">
        <v>110</v>
      </c>
      <c r="H19" s="19" t="s">
        <v>111</v>
      </c>
      <c r="I19" s="32"/>
      <c r="J19" s="30"/>
    </row>
    <row r="20" spans="1:10" ht="35.15" customHeight="1" outlineLevel="1" x14ac:dyDescent="0.25">
      <c r="A20" s="25"/>
      <c r="B20" s="22" t="s">
        <v>168</v>
      </c>
      <c r="C20" s="22" t="s">
        <v>168</v>
      </c>
      <c r="D20" s="19" t="s">
        <v>169</v>
      </c>
      <c r="E20" s="22" t="s">
        <v>168</v>
      </c>
      <c r="F20" s="19" t="s">
        <v>109</v>
      </c>
      <c r="G20" s="19" t="s">
        <v>110</v>
      </c>
      <c r="H20" s="19" t="s">
        <v>111</v>
      </c>
      <c r="I20" s="32"/>
      <c r="J20" s="30"/>
    </row>
    <row r="21" spans="1:10" ht="25" customHeight="1" x14ac:dyDescent="0.25">
      <c r="A21" s="21" t="s">
        <v>26</v>
      </c>
      <c r="B21" s="24"/>
      <c r="C21" s="24"/>
      <c r="D21" s="24"/>
      <c r="E21" s="24"/>
      <c r="F21" s="24" t="str">
        <f t="shared" ref="F21:I21" si="2">F$2</f>
        <v>Code System</v>
      </c>
      <c r="G21" s="24" t="str">
        <f t="shared" si="2"/>
        <v>Code System OID</v>
      </c>
      <c r="H21" s="24" t="str">
        <f t="shared" si="2"/>
        <v>HL70396 value</v>
      </c>
      <c r="I21" s="24" t="str">
        <f t="shared" si="2"/>
        <v>Notes</v>
      </c>
    </row>
    <row r="22" spans="1:10" ht="17.5" customHeight="1" outlineLevel="1" x14ac:dyDescent="0.25">
      <c r="A22" s="144" t="s">
        <v>134</v>
      </c>
      <c r="B22" s="145"/>
      <c r="C22" s="145"/>
      <c r="D22" s="145"/>
      <c r="E22" s="145"/>
      <c r="F22" s="145"/>
      <c r="G22" s="145"/>
      <c r="H22" s="145"/>
      <c r="I22" s="146"/>
      <c r="J22" s="30"/>
    </row>
    <row r="23" spans="1:10" ht="25" customHeight="1" x14ac:dyDescent="0.25">
      <c r="A23" s="21" t="s">
        <v>31</v>
      </c>
      <c r="B23" s="24" t="str">
        <f t="shared" ref="B23:I23" si="3">B$2</f>
        <v>Concept Name</v>
      </c>
      <c r="C23" s="24" t="str">
        <f t="shared" si="3"/>
        <v>Display Term in RV</v>
      </c>
      <c r="D23" s="24" t="str">
        <f t="shared" si="3"/>
        <v>Standard Code In Message</v>
      </c>
      <c r="E23" s="24" t="str">
        <f t="shared" si="3"/>
        <v>Standard Name in Message</v>
      </c>
      <c r="F23" s="24" t="str">
        <f t="shared" si="3"/>
        <v>Code System</v>
      </c>
      <c r="G23" s="24" t="str">
        <f t="shared" si="3"/>
        <v>Code System OID</v>
      </c>
      <c r="H23" s="24" t="str">
        <f t="shared" si="3"/>
        <v>HL70396 value</v>
      </c>
      <c r="I23" s="24" t="str">
        <f t="shared" si="3"/>
        <v>Notes</v>
      </c>
    </row>
    <row r="24" spans="1:10" ht="17.5" customHeight="1" outlineLevel="1" x14ac:dyDescent="0.25">
      <c r="A24" s="144" t="s">
        <v>135</v>
      </c>
      <c r="B24" s="145"/>
      <c r="C24" s="145"/>
      <c r="D24" s="145"/>
      <c r="E24" s="145"/>
      <c r="F24" s="145"/>
      <c r="G24" s="145"/>
      <c r="H24" s="145"/>
      <c r="I24" s="146"/>
      <c r="J24" s="30"/>
    </row>
  </sheetData>
  <mergeCells count="3">
    <mergeCell ref="A1:J1"/>
    <mergeCell ref="A22:I22"/>
    <mergeCell ref="A24:I24"/>
  </mergeCells>
  <phoneticPr fontId="44" type="noConversion"/>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9562-6235-4C7C-99E7-7E165D91B74B}">
  <sheetPr>
    <tabColor theme="0"/>
  </sheetPr>
  <dimension ref="A1:J22"/>
  <sheetViews>
    <sheetView topLeftCell="D1" zoomScale="90" zoomScaleNormal="90" zoomScaleSheetLayoutView="100" workbookViewId="0">
      <selection activeCell="F18" sqref="F18"/>
    </sheetView>
  </sheetViews>
  <sheetFormatPr defaultColWidth="9.1796875" defaultRowHeight="14" outlineLevelRow="1" x14ac:dyDescent="0.25"/>
  <cols>
    <col min="1" max="1" width="26.453125" style="23" customWidth="1"/>
    <col min="2" max="2" width="56.453125" style="23" customWidth="1"/>
    <col min="3" max="3" width="54.1796875" style="23" customWidth="1"/>
    <col min="4" max="4" width="35.1796875" style="23" customWidth="1"/>
    <col min="5" max="5" width="52.453125" style="23" customWidth="1"/>
    <col min="6" max="6" width="27.7265625" style="23" customWidth="1"/>
    <col min="7" max="7" width="36.453125" style="23" customWidth="1"/>
    <col min="8" max="8" width="34.1796875" style="23" customWidth="1"/>
    <col min="9" max="9" width="40.1796875" style="33" customWidth="1"/>
    <col min="10" max="10" width="16.1796875" style="18" hidden="1" customWidth="1"/>
    <col min="11" max="11" width="16.179687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39.75" customHeight="1" outlineLevel="1" x14ac:dyDescent="0.25">
      <c r="A3" s="35"/>
      <c r="B3" s="36" t="s">
        <v>97</v>
      </c>
      <c r="C3" s="36" t="s">
        <v>98</v>
      </c>
      <c r="D3" s="36" t="s">
        <v>99</v>
      </c>
      <c r="E3" s="36" t="s">
        <v>100</v>
      </c>
      <c r="F3" s="36" t="s">
        <v>101</v>
      </c>
      <c r="G3" s="36" t="s">
        <v>102</v>
      </c>
      <c r="H3" s="36" t="s">
        <v>103</v>
      </c>
      <c r="I3" s="107" t="s">
        <v>104</v>
      </c>
      <c r="J3" s="37"/>
    </row>
    <row r="4" spans="1:10" s="55" customFormat="1" ht="14.15" customHeight="1" x14ac:dyDescent="0.25">
      <c r="A4" s="81" t="s">
        <v>136</v>
      </c>
      <c r="B4" s="82"/>
      <c r="C4" s="82"/>
      <c r="D4" s="82"/>
      <c r="E4" s="82"/>
      <c r="F4" s="82"/>
      <c r="G4" s="83"/>
      <c r="H4" s="83"/>
      <c r="I4" s="83"/>
    </row>
    <row r="6" spans="1:10" ht="25" customHeight="1" x14ac:dyDescent="0.25">
      <c r="A6" s="21" t="s">
        <v>106</v>
      </c>
      <c r="B6" s="24" t="str">
        <f t="shared" ref="B6:I6" si="0">B$2</f>
        <v>Concept Name</v>
      </c>
      <c r="C6" s="24" t="str">
        <f t="shared" si="0"/>
        <v>Display Term in RV</v>
      </c>
      <c r="D6" s="24" t="str">
        <f t="shared" si="0"/>
        <v>Standard Code In Message</v>
      </c>
      <c r="E6" s="24" t="str">
        <f t="shared" si="0"/>
        <v>Standard Name in Message</v>
      </c>
      <c r="F6" s="24" t="str">
        <f t="shared" si="0"/>
        <v>Code System</v>
      </c>
      <c r="G6" s="24" t="str">
        <f t="shared" si="0"/>
        <v>Code System OID</v>
      </c>
      <c r="H6" s="24" t="str">
        <f t="shared" si="0"/>
        <v>HL70396 value</v>
      </c>
      <c r="I6" s="24" t="str">
        <f t="shared" si="0"/>
        <v>Notes</v>
      </c>
    </row>
    <row r="7" spans="1:10" ht="25" customHeight="1" outlineLevel="1" x14ac:dyDescent="0.25">
      <c r="A7" s="19"/>
      <c r="B7" s="22" t="s">
        <v>170</v>
      </c>
      <c r="C7" s="19" t="s">
        <v>170</v>
      </c>
      <c r="D7" s="19" t="s">
        <v>171</v>
      </c>
      <c r="E7" s="22" t="s">
        <v>170</v>
      </c>
      <c r="F7" s="19" t="s">
        <v>109</v>
      </c>
      <c r="G7" s="19" t="s">
        <v>110</v>
      </c>
      <c r="H7" s="19" t="s">
        <v>111</v>
      </c>
      <c r="I7" s="34"/>
      <c r="J7" s="30"/>
    </row>
    <row r="8" spans="1:10" s="27" customFormat="1" ht="14.15" customHeight="1" x14ac:dyDescent="0.25">
      <c r="A8" s="25"/>
      <c r="B8" s="25"/>
      <c r="C8" s="25"/>
      <c r="D8" s="25"/>
      <c r="E8" s="25"/>
      <c r="F8" s="25"/>
    </row>
    <row r="9" spans="1:10" ht="25" customHeight="1" x14ac:dyDescent="0.25">
      <c r="A9" s="99" t="s">
        <v>112</v>
      </c>
      <c r="B9" s="24" t="str">
        <f t="shared" ref="B9:I9" si="1">B$2</f>
        <v>Concept Name</v>
      </c>
      <c r="C9" s="24" t="str">
        <f t="shared" si="1"/>
        <v>Display Term in RV</v>
      </c>
      <c r="D9" s="24" t="str">
        <f t="shared" si="1"/>
        <v>Standard Code In Message</v>
      </c>
      <c r="E9" s="24" t="str">
        <f t="shared" si="1"/>
        <v>Standard Name in Message</v>
      </c>
      <c r="F9" s="24" t="str">
        <f t="shared" si="1"/>
        <v>Code System</v>
      </c>
      <c r="G9" s="24" t="str">
        <f t="shared" si="1"/>
        <v>Code System OID</v>
      </c>
      <c r="H9" s="24" t="str">
        <f t="shared" si="1"/>
        <v>HL70396 value</v>
      </c>
      <c r="I9" s="24" t="str">
        <f t="shared" si="1"/>
        <v>Notes</v>
      </c>
    </row>
    <row r="10" spans="1:10" ht="25" customHeight="1" outlineLevel="1" x14ac:dyDescent="0.25">
      <c r="A10" s="19"/>
      <c r="B10" s="84" t="s">
        <v>172</v>
      </c>
      <c r="C10" s="84" t="s">
        <v>172</v>
      </c>
      <c r="D10" s="19" t="s">
        <v>173</v>
      </c>
      <c r="E10" s="84" t="s">
        <v>172</v>
      </c>
      <c r="F10" s="19" t="s">
        <v>109</v>
      </c>
      <c r="G10" s="19" t="s">
        <v>110</v>
      </c>
      <c r="H10" s="19" t="s">
        <v>111</v>
      </c>
      <c r="I10" s="32"/>
      <c r="J10" s="30"/>
    </row>
    <row r="11" spans="1:10" ht="35.15" customHeight="1" outlineLevel="1" x14ac:dyDescent="0.25">
      <c r="A11" s="25"/>
      <c r="B11" s="84" t="s">
        <v>174</v>
      </c>
      <c r="C11" s="84" t="s">
        <v>174</v>
      </c>
      <c r="D11" s="19" t="s">
        <v>175</v>
      </c>
      <c r="E11" s="84" t="s">
        <v>174</v>
      </c>
      <c r="F11" s="19" t="s">
        <v>109</v>
      </c>
      <c r="G11" s="19" t="s">
        <v>110</v>
      </c>
      <c r="H11" s="19" t="s">
        <v>111</v>
      </c>
      <c r="I11" s="32"/>
      <c r="J11" s="30"/>
    </row>
    <row r="12" spans="1:10" ht="28" customHeight="1" outlineLevel="1" x14ac:dyDescent="0.25">
      <c r="A12" s="25"/>
      <c r="B12" s="84" t="s">
        <v>176</v>
      </c>
      <c r="C12" s="84" t="s">
        <v>176</v>
      </c>
      <c r="D12" s="19" t="s">
        <v>177</v>
      </c>
      <c r="E12" s="84" t="s">
        <v>176</v>
      </c>
      <c r="F12" s="19" t="s">
        <v>109</v>
      </c>
      <c r="G12" s="19" t="s">
        <v>110</v>
      </c>
      <c r="H12" s="19" t="s">
        <v>111</v>
      </c>
      <c r="I12" s="32"/>
      <c r="J12" s="30"/>
    </row>
    <row r="13" spans="1:10" ht="31" customHeight="1" outlineLevel="1" x14ac:dyDescent="0.25">
      <c r="A13" s="25"/>
      <c r="B13" s="84" t="s">
        <v>178</v>
      </c>
      <c r="C13" s="84" t="s">
        <v>178</v>
      </c>
      <c r="D13" s="19" t="s">
        <v>179</v>
      </c>
      <c r="E13" s="84" t="s">
        <v>178</v>
      </c>
      <c r="F13" s="19" t="s">
        <v>109</v>
      </c>
      <c r="G13" s="19" t="s">
        <v>110</v>
      </c>
      <c r="H13" s="19" t="s">
        <v>111</v>
      </c>
      <c r="I13" s="32"/>
      <c r="J13" s="30"/>
    </row>
    <row r="14" spans="1:10" ht="29.15" customHeight="1" outlineLevel="1" x14ac:dyDescent="0.25">
      <c r="A14" s="25"/>
      <c r="B14" s="84" t="s">
        <v>180</v>
      </c>
      <c r="C14" s="84" t="s">
        <v>180</v>
      </c>
      <c r="D14" s="19" t="s">
        <v>181</v>
      </c>
      <c r="E14" s="84" t="s">
        <v>180</v>
      </c>
      <c r="F14" s="19" t="s">
        <v>109</v>
      </c>
      <c r="G14" s="19" t="s">
        <v>110</v>
      </c>
      <c r="H14" s="19" t="s">
        <v>111</v>
      </c>
      <c r="I14" s="32"/>
      <c r="J14" s="30"/>
    </row>
    <row r="15" spans="1:10" ht="25" customHeight="1" outlineLevel="1" x14ac:dyDescent="0.25">
      <c r="A15" s="25"/>
      <c r="B15" s="84" t="s">
        <v>182</v>
      </c>
      <c r="C15" s="84" t="s">
        <v>182</v>
      </c>
      <c r="D15" s="19" t="s">
        <v>183</v>
      </c>
      <c r="E15" s="84" t="s">
        <v>182</v>
      </c>
      <c r="F15" s="19" t="s">
        <v>109</v>
      </c>
      <c r="G15" s="19" t="s">
        <v>110</v>
      </c>
      <c r="H15" s="19" t="s">
        <v>111</v>
      </c>
      <c r="I15" s="32"/>
      <c r="J15" s="30"/>
    </row>
    <row r="16" spans="1:10" ht="25" customHeight="1" outlineLevel="1" x14ac:dyDescent="0.25">
      <c r="A16" s="25"/>
      <c r="B16" s="84" t="s">
        <v>184</v>
      </c>
      <c r="C16" s="84" t="s">
        <v>184</v>
      </c>
      <c r="D16" s="19" t="s">
        <v>185</v>
      </c>
      <c r="E16" s="84" t="s">
        <v>184</v>
      </c>
      <c r="F16" s="19" t="s">
        <v>109</v>
      </c>
      <c r="G16" s="19" t="s">
        <v>110</v>
      </c>
      <c r="H16" s="19" t="s">
        <v>111</v>
      </c>
      <c r="I16" s="32"/>
      <c r="J16" s="30"/>
    </row>
    <row r="17" spans="1:10" ht="33.5" customHeight="1" outlineLevel="1" x14ac:dyDescent="0.25">
      <c r="A17" s="25"/>
      <c r="B17" s="53" t="s">
        <v>385</v>
      </c>
      <c r="C17" s="53" t="s">
        <v>385</v>
      </c>
      <c r="D17" s="48" t="s">
        <v>383</v>
      </c>
      <c r="E17" s="53" t="s">
        <v>385</v>
      </c>
      <c r="F17" s="48" t="s">
        <v>109</v>
      </c>
      <c r="G17" s="48" t="s">
        <v>110</v>
      </c>
      <c r="H17" s="48" t="s">
        <v>111</v>
      </c>
      <c r="I17" s="32"/>
      <c r="J17" s="30"/>
    </row>
    <row r="18" spans="1:10" ht="42" outlineLevel="1" x14ac:dyDescent="0.25">
      <c r="A18" s="25"/>
      <c r="B18" s="53" t="s">
        <v>384</v>
      </c>
      <c r="C18" s="53" t="s">
        <v>384</v>
      </c>
      <c r="D18" s="48" t="s">
        <v>386</v>
      </c>
      <c r="E18" s="53" t="s">
        <v>384</v>
      </c>
      <c r="F18" s="48" t="s">
        <v>109</v>
      </c>
      <c r="G18" s="48" t="s">
        <v>110</v>
      </c>
      <c r="H18" s="48" t="s">
        <v>111</v>
      </c>
      <c r="I18" s="32"/>
      <c r="J18" s="30"/>
    </row>
    <row r="19" spans="1:10" ht="25" customHeight="1" x14ac:dyDescent="0.25">
      <c r="A19" s="21" t="s">
        <v>26</v>
      </c>
      <c r="B19" s="24"/>
      <c r="C19" s="24"/>
      <c r="D19" s="24"/>
      <c r="E19" s="24"/>
      <c r="F19" s="24" t="str">
        <f t="shared" ref="F19:I19" si="2">F$2</f>
        <v>Code System</v>
      </c>
      <c r="G19" s="24" t="str">
        <f t="shared" si="2"/>
        <v>Code System OID</v>
      </c>
      <c r="H19" s="24" t="str">
        <f t="shared" si="2"/>
        <v>HL70396 value</v>
      </c>
      <c r="I19" s="24" t="str">
        <f t="shared" si="2"/>
        <v>Notes</v>
      </c>
    </row>
    <row r="20" spans="1:10" ht="17.5" customHeight="1" outlineLevel="1" x14ac:dyDescent="0.25">
      <c r="A20" s="144" t="s">
        <v>134</v>
      </c>
      <c r="B20" s="145"/>
      <c r="C20" s="145"/>
      <c r="D20" s="145"/>
      <c r="E20" s="145"/>
      <c r="F20" s="145"/>
      <c r="G20" s="145"/>
      <c r="H20" s="145"/>
      <c r="I20" s="146"/>
      <c r="J20" s="30"/>
    </row>
    <row r="21" spans="1:10" ht="25" customHeight="1" x14ac:dyDescent="0.25">
      <c r="A21" s="21" t="s">
        <v>31</v>
      </c>
      <c r="B21" s="24" t="str">
        <f t="shared" ref="B21:I21" si="3">B$2</f>
        <v>Concept Name</v>
      </c>
      <c r="C21" s="24" t="str">
        <f t="shared" si="3"/>
        <v>Display Term in RV</v>
      </c>
      <c r="D21" s="24" t="str">
        <f t="shared" si="3"/>
        <v>Standard Code In Message</v>
      </c>
      <c r="E21" s="24" t="str">
        <f t="shared" si="3"/>
        <v>Standard Name in Message</v>
      </c>
      <c r="F21" s="24" t="str">
        <f t="shared" si="3"/>
        <v>Code System</v>
      </c>
      <c r="G21" s="24" t="str">
        <f t="shared" si="3"/>
        <v>Code System OID</v>
      </c>
      <c r="H21" s="24" t="str">
        <f t="shared" si="3"/>
        <v>HL70396 value</v>
      </c>
      <c r="I21" s="24" t="str">
        <f t="shared" si="3"/>
        <v>Notes</v>
      </c>
    </row>
    <row r="22" spans="1:10" ht="17.5" customHeight="1" outlineLevel="1" x14ac:dyDescent="0.25">
      <c r="A22" s="144" t="s">
        <v>135</v>
      </c>
      <c r="B22" s="145"/>
      <c r="C22" s="145"/>
      <c r="D22" s="145"/>
      <c r="E22" s="145"/>
      <c r="F22" s="145"/>
      <c r="G22" s="145"/>
      <c r="H22" s="145"/>
      <c r="I22" s="146"/>
      <c r="J22" s="30"/>
    </row>
  </sheetData>
  <mergeCells count="3">
    <mergeCell ref="A1:J1"/>
    <mergeCell ref="A20:I20"/>
    <mergeCell ref="A22:I22"/>
  </mergeCells>
  <phoneticPr fontId="44" type="noConversion"/>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93B9-FFB9-4BDD-A13A-A04AFAE08A00}">
  <sheetPr>
    <tabColor theme="0"/>
  </sheetPr>
  <dimension ref="A1:J59"/>
  <sheetViews>
    <sheetView zoomScale="92" zoomScaleNormal="92" zoomScaleSheetLayoutView="100" workbookViewId="0">
      <selection activeCell="A3" sqref="A3"/>
    </sheetView>
  </sheetViews>
  <sheetFormatPr defaultColWidth="9.1796875" defaultRowHeight="14" outlineLevelRow="1" x14ac:dyDescent="0.25"/>
  <cols>
    <col min="1" max="1" width="26.453125" style="23" customWidth="1"/>
    <col min="2" max="2" width="59.453125" style="23" customWidth="1"/>
    <col min="3" max="3" width="54.1796875" style="23" customWidth="1"/>
    <col min="4" max="4" width="35.1796875" style="23" customWidth="1"/>
    <col min="5" max="5" width="52.453125" style="23" customWidth="1"/>
    <col min="6" max="6" width="27.7265625" style="23" customWidth="1"/>
    <col min="7" max="7" width="36.453125" style="23" customWidth="1"/>
    <col min="8" max="8" width="34.1796875" style="23" customWidth="1"/>
    <col min="9" max="9" width="36.81640625" style="33" customWidth="1"/>
    <col min="10" max="10" width="16.1796875" style="18" hidden="1" customWidth="1"/>
    <col min="11" max="11" width="16.179687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39.75" customHeight="1" outlineLevel="1" x14ac:dyDescent="0.25">
      <c r="A3" s="35"/>
      <c r="B3" s="36" t="s">
        <v>97</v>
      </c>
      <c r="C3" s="36" t="s">
        <v>98</v>
      </c>
      <c r="D3" s="36" t="s">
        <v>99</v>
      </c>
      <c r="E3" s="36" t="s">
        <v>100</v>
      </c>
      <c r="F3" s="36" t="s">
        <v>101</v>
      </c>
      <c r="G3" s="36" t="s">
        <v>102</v>
      </c>
      <c r="H3" s="36" t="s">
        <v>103</v>
      </c>
      <c r="I3" s="107" t="s">
        <v>104</v>
      </c>
      <c r="J3" s="37"/>
    </row>
    <row r="4" spans="1:10" s="55" customFormat="1" ht="14.15" customHeight="1" x14ac:dyDescent="0.25">
      <c r="A4" s="81" t="s">
        <v>105</v>
      </c>
      <c r="B4" s="82"/>
      <c r="C4" s="82"/>
      <c r="D4" s="82"/>
      <c r="E4" s="82"/>
      <c r="F4" s="82"/>
      <c r="G4" s="83"/>
      <c r="H4" s="83"/>
      <c r="I4" s="83"/>
    </row>
    <row r="6" spans="1:10" ht="25" customHeight="1" x14ac:dyDescent="0.25">
      <c r="A6" s="21" t="s">
        <v>106</v>
      </c>
      <c r="B6" s="24" t="str">
        <f t="shared" ref="B6:I6" si="0">B$2</f>
        <v>Concept Name</v>
      </c>
      <c r="C6" s="24" t="str">
        <f t="shared" si="0"/>
        <v>Display Term in RV</v>
      </c>
      <c r="D6" s="24" t="str">
        <f t="shared" si="0"/>
        <v>Standard Code In Message</v>
      </c>
      <c r="E6" s="24" t="str">
        <f t="shared" si="0"/>
        <v>Standard Name in Message</v>
      </c>
      <c r="F6" s="24" t="str">
        <f t="shared" si="0"/>
        <v>Code System</v>
      </c>
      <c r="G6" s="24" t="str">
        <f t="shared" si="0"/>
        <v>Code System OID</v>
      </c>
      <c r="H6" s="24" t="str">
        <f t="shared" si="0"/>
        <v>HL70396 value</v>
      </c>
      <c r="I6" s="24" t="str">
        <f t="shared" si="0"/>
        <v>Notes</v>
      </c>
    </row>
    <row r="7" spans="1:10" ht="25" customHeight="1" outlineLevel="1" x14ac:dyDescent="0.25">
      <c r="A7" s="19"/>
      <c r="B7" s="86" t="s">
        <v>186</v>
      </c>
      <c r="C7" s="86" t="s">
        <v>186</v>
      </c>
      <c r="D7" s="19" t="s">
        <v>187</v>
      </c>
      <c r="E7" s="86" t="s">
        <v>186</v>
      </c>
      <c r="F7" s="19" t="s">
        <v>109</v>
      </c>
      <c r="G7" s="19" t="s">
        <v>110</v>
      </c>
      <c r="H7" s="19" t="s">
        <v>111</v>
      </c>
      <c r="I7" s="34"/>
      <c r="J7" s="30"/>
    </row>
    <row r="8" spans="1:10" s="27" customFormat="1" ht="14.15" customHeight="1" x14ac:dyDescent="0.25">
      <c r="A8" s="25"/>
      <c r="B8" s="25"/>
      <c r="C8" s="25"/>
      <c r="D8" s="25"/>
      <c r="E8" s="25"/>
      <c r="F8" s="25"/>
    </row>
    <row r="9" spans="1:10" ht="32.15" customHeight="1" x14ac:dyDescent="0.25">
      <c r="A9" s="99" t="s">
        <v>112</v>
      </c>
      <c r="B9" s="24" t="str">
        <f t="shared" ref="B9:I9" si="1">B$2</f>
        <v>Concept Name</v>
      </c>
      <c r="C9" s="24" t="str">
        <f t="shared" si="1"/>
        <v>Display Term in RV</v>
      </c>
      <c r="D9" s="24" t="str">
        <f t="shared" si="1"/>
        <v>Standard Code In Message</v>
      </c>
      <c r="E9" s="24" t="str">
        <f t="shared" si="1"/>
        <v>Standard Name in Message</v>
      </c>
      <c r="F9" s="24" t="str">
        <f t="shared" si="1"/>
        <v>Code System</v>
      </c>
      <c r="G9" s="24" t="str">
        <f t="shared" si="1"/>
        <v>Code System OID</v>
      </c>
      <c r="H9" s="24" t="str">
        <f t="shared" si="1"/>
        <v>HL70396 value</v>
      </c>
      <c r="I9" s="24" t="str">
        <f t="shared" si="1"/>
        <v>Notes</v>
      </c>
    </row>
    <row r="10" spans="1:10" ht="37.5" customHeight="1" x14ac:dyDescent="0.25">
      <c r="A10" s="28"/>
      <c r="B10" s="22" t="s">
        <v>188</v>
      </c>
      <c r="C10" s="22" t="s">
        <v>188</v>
      </c>
      <c r="D10" s="19" t="s">
        <v>189</v>
      </c>
      <c r="E10" s="22" t="s">
        <v>188</v>
      </c>
      <c r="F10" s="20" t="s">
        <v>115</v>
      </c>
      <c r="G10" s="20" t="s">
        <v>116</v>
      </c>
      <c r="H10" s="20" t="s">
        <v>117</v>
      </c>
      <c r="I10" s="97"/>
    </row>
    <row r="11" spans="1:10" ht="25" customHeight="1" x14ac:dyDescent="0.25">
      <c r="A11" s="28"/>
      <c r="B11" s="101" t="s">
        <v>190</v>
      </c>
      <c r="C11" s="101" t="s">
        <v>190</v>
      </c>
      <c r="D11" s="19" t="s">
        <v>191</v>
      </c>
      <c r="E11" s="101" t="s">
        <v>190</v>
      </c>
      <c r="F11" s="19" t="s">
        <v>115</v>
      </c>
      <c r="G11" s="19" t="s">
        <v>116</v>
      </c>
      <c r="H11" s="19" t="s">
        <v>117</v>
      </c>
      <c r="I11" s="98"/>
    </row>
    <row r="12" spans="1:10" ht="25" customHeight="1" x14ac:dyDescent="0.3">
      <c r="A12" s="28"/>
      <c r="B12" s="22" t="s">
        <v>192</v>
      </c>
      <c r="C12" s="22" t="s">
        <v>192</v>
      </c>
      <c r="D12" s="102" t="s">
        <v>193</v>
      </c>
      <c r="E12" s="22" t="s">
        <v>192</v>
      </c>
      <c r="F12" s="20" t="s">
        <v>115</v>
      </c>
      <c r="G12" s="20" t="s">
        <v>116</v>
      </c>
      <c r="H12" s="20" t="s">
        <v>117</v>
      </c>
      <c r="I12" s="90"/>
    </row>
    <row r="13" spans="1:10" ht="25" customHeight="1" x14ac:dyDescent="0.25">
      <c r="A13" s="28"/>
      <c r="B13" s="22" t="s">
        <v>194</v>
      </c>
      <c r="C13" s="22" t="s">
        <v>194</v>
      </c>
      <c r="D13" s="19" t="s">
        <v>195</v>
      </c>
      <c r="E13" s="22" t="s">
        <v>194</v>
      </c>
      <c r="F13" s="19" t="s">
        <v>109</v>
      </c>
      <c r="G13" s="19" t="s">
        <v>110</v>
      </c>
      <c r="H13" s="19" t="s">
        <v>111</v>
      </c>
      <c r="I13" s="90"/>
    </row>
    <row r="14" spans="1:10" ht="25" customHeight="1" x14ac:dyDescent="0.3">
      <c r="A14" s="28"/>
      <c r="B14" s="22" t="s">
        <v>196</v>
      </c>
      <c r="C14" s="22" t="s">
        <v>196</v>
      </c>
      <c r="D14" s="102" t="s">
        <v>197</v>
      </c>
      <c r="E14" s="22" t="s">
        <v>196</v>
      </c>
      <c r="F14" s="20" t="s">
        <v>115</v>
      </c>
      <c r="G14" s="20" t="s">
        <v>116</v>
      </c>
      <c r="H14" s="20" t="s">
        <v>117</v>
      </c>
      <c r="I14" s="90"/>
    </row>
    <row r="15" spans="1:10" ht="25" customHeight="1" x14ac:dyDescent="0.25">
      <c r="A15" s="28"/>
      <c r="B15" s="22" t="s">
        <v>198</v>
      </c>
      <c r="C15" s="22" t="s">
        <v>198</v>
      </c>
      <c r="D15" s="19" t="s">
        <v>199</v>
      </c>
      <c r="E15" s="22" t="s">
        <v>198</v>
      </c>
      <c r="F15" s="19" t="s">
        <v>109</v>
      </c>
      <c r="G15" s="19" t="s">
        <v>110</v>
      </c>
      <c r="H15" s="19" t="s">
        <v>111</v>
      </c>
      <c r="I15" s="90"/>
    </row>
    <row r="16" spans="1:10" ht="25" customHeight="1" x14ac:dyDescent="0.3">
      <c r="A16" s="28"/>
      <c r="B16" s="103" t="s">
        <v>200</v>
      </c>
      <c r="C16" s="103" t="s">
        <v>200</v>
      </c>
      <c r="D16" s="102" t="s">
        <v>201</v>
      </c>
      <c r="E16" s="103" t="s">
        <v>200</v>
      </c>
      <c r="F16" s="20" t="s">
        <v>115</v>
      </c>
      <c r="G16" s="20" t="s">
        <v>116</v>
      </c>
      <c r="H16" s="20" t="s">
        <v>117</v>
      </c>
      <c r="I16" s="90"/>
    </row>
    <row r="17" spans="1:10" ht="25" customHeight="1" x14ac:dyDescent="0.3">
      <c r="A17" s="28"/>
      <c r="B17" s="104" t="s">
        <v>202</v>
      </c>
      <c r="C17" s="109" t="s">
        <v>202</v>
      </c>
      <c r="D17" s="102" t="s">
        <v>203</v>
      </c>
      <c r="E17" s="109" t="s">
        <v>202</v>
      </c>
      <c r="F17" s="20" t="s">
        <v>115</v>
      </c>
      <c r="G17" s="20" t="s">
        <v>116</v>
      </c>
      <c r="H17" s="20" t="s">
        <v>117</v>
      </c>
      <c r="I17" s="90"/>
    </row>
    <row r="18" spans="1:10" ht="25" customHeight="1" x14ac:dyDescent="0.25">
      <c r="A18" s="28"/>
      <c r="B18" s="22" t="s">
        <v>204</v>
      </c>
      <c r="C18" s="22" t="s">
        <v>204</v>
      </c>
      <c r="D18" s="19" t="s">
        <v>205</v>
      </c>
      <c r="E18" s="22" t="s">
        <v>204</v>
      </c>
      <c r="F18" s="19" t="s">
        <v>109</v>
      </c>
      <c r="G18" s="19" t="s">
        <v>110</v>
      </c>
      <c r="H18" s="19" t="s">
        <v>111</v>
      </c>
      <c r="I18" s="90"/>
    </row>
    <row r="19" spans="1:10" ht="25" customHeight="1" x14ac:dyDescent="0.25">
      <c r="A19" s="28"/>
      <c r="B19" s="22" t="s">
        <v>206</v>
      </c>
      <c r="C19" s="22" t="s">
        <v>206</v>
      </c>
      <c r="D19" s="19" t="s">
        <v>207</v>
      </c>
      <c r="E19" s="22" t="s">
        <v>206</v>
      </c>
      <c r="F19" s="19" t="s">
        <v>109</v>
      </c>
      <c r="G19" s="19" t="s">
        <v>110</v>
      </c>
      <c r="H19" s="19" t="s">
        <v>111</v>
      </c>
      <c r="I19" s="90"/>
    </row>
    <row r="20" spans="1:10" ht="25" customHeight="1" x14ac:dyDescent="0.3">
      <c r="A20" s="28"/>
      <c r="B20" s="22" t="s">
        <v>208</v>
      </c>
      <c r="C20" s="22" t="s">
        <v>208</v>
      </c>
      <c r="D20" s="102" t="s">
        <v>209</v>
      </c>
      <c r="E20" s="22" t="s">
        <v>208</v>
      </c>
      <c r="F20" s="20" t="s">
        <v>115</v>
      </c>
      <c r="G20" s="20" t="s">
        <v>116</v>
      </c>
      <c r="H20" s="20" t="s">
        <v>117</v>
      </c>
      <c r="I20" s="90"/>
    </row>
    <row r="21" spans="1:10" ht="25" customHeight="1" x14ac:dyDescent="0.25">
      <c r="A21" s="28"/>
      <c r="B21" s="22" t="s">
        <v>210</v>
      </c>
      <c r="C21" s="22" t="s">
        <v>210</v>
      </c>
      <c r="D21" s="19" t="s">
        <v>211</v>
      </c>
      <c r="E21" s="22" t="s">
        <v>210</v>
      </c>
      <c r="F21" s="19" t="s">
        <v>109</v>
      </c>
      <c r="G21" s="19" t="s">
        <v>110</v>
      </c>
      <c r="H21" s="19" t="s">
        <v>111</v>
      </c>
      <c r="I21" s="90"/>
    </row>
    <row r="22" spans="1:10" ht="25" customHeight="1" x14ac:dyDescent="0.25">
      <c r="A22" s="28"/>
      <c r="B22" s="22" t="s">
        <v>212</v>
      </c>
      <c r="C22" s="22" t="s">
        <v>212</v>
      </c>
      <c r="D22" s="19" t="s">
        <v>213</v>
      </c>
      <c r="E22" s="22" t="s">
        <v>212</v>
      </c>
      <c r="F22" s="19" t="s">
        <v>109</v>
      </c>
      <c r="G22" s="19" t="s">
        <v>110</v>
      </c>
      <c r="H22" s="19" t="s">
        <v>111</v>
      </c>
      <c r="I22" s="90"/>
    </row>
    <row r="23" spans="1:10" ht="25" customHeight="1" x14ac:dyDescent="0.3">
      <c r="A23" s="28"/>
      <c r="B23" s="22" t="s">
        <v>214</v>
      </c>
      <c r="C23" s="22" t="s">
        <v>214</v>
      </c>
      <c r="D23" s="102" t="s">
        <v>215</v>
      </c>
      <c r="E23" s="22" t="s">
        <v>214</v>
      </c>
      <c r="F23" s="20" t="s">
        <v>115</v>
      </c>
      <c r="G23" s="20" t="s">
        <v>116</v>
      </c>
      <c r="H23" s="20" t="s">
        <v>117</v>
      </c>
      <c r="I23" s="90"/>
    </row>
    <row r="24" spans="1:10" ht="25" customHeight="1" x14ac:dyDescent="0.3">
      <c r="A24" s="28"/>
      <c r="B24" s="22" t="s">
        <v>216</v>
      </c>
      <c r="C24" s="22" t="s">
        <v>216</v>
      </c>
      <c r="D24" s="102" t="s">
        <v>217</v>
      </c>
      <c r="E24" s="22" t="s">
        <v>216</v>
      </c>
      <c r="F24" s="20" t="s">
        <v>115</v>
      </c>
      <c r="G24" s="20" t="s">
        <v>116</v>
      </c>
      <c r="H24" s="20" t="s">
        <v>117</v>
      </c>
      <c r="I24" s="90"/>
    </row>
    <row r="25" spans="1:10" ht="32.15" customHeight="1" x14ac:dyDescent="0.25">
      <c r="A25" s="28"/>
      <c r="B25" s="22" t="s">
        <v>218</v>
      </c>
      <c r="C25" s="22" t="s">
        <v>218</v>
      </c>
      <c r="D25" s="19" t="s">
        <v>219</v>
      </c>
      <c r="E25" s="22" t="s">
        <v>218</v>
      </c>
      <c r="F25" s="20" t="s">
        <v>115</v>
      </c>
      <c r="G25" s="20" t="s">
        <v>116</v>
      </c>
      <c r="H25" s="20" t="s">
        <v>117</v>
      </c>
      <c r="I25" s="90"/>
    </row>
    <row r="26" spans="1:10" ht="25" customHeight="1" x14ac:dyDescent="0.25">
      <c r="A26" s="28"/>
      <c r="B26" s="22" t="s">
        <v>220</v>
      </c>
      <c r="C26" s="22" t="s">
        <v>220</v>
      </c>
      <c r="D26" s="19" t="s">
        <v>221</v>
      </c>
      <c r="E26" s="22" t="s">
        <v>220</v>
      </c>
      <c r="F26" s="20" t="s">
        <v>115</v>
      </c>
      <c r="G26" s="20" t="s">
        <v>116</v>
      </c>
      <c r="H26" s="20" t="s">
        <v>117</v>
      </c>
      <c r="I26" s="90"/>
    </row>
    <row r="27" spans="1:10" ht="25" customHeight="1" x14ac:dyDescent="0.25">
      <c r="A27" s="28"/>
      <c r="B27" s="22" t="s">
        <v>222</v>
      </c>
      <c r="C27" s="22" t="s">
        <v>222</v>
      </c>
      <c r="D27" s="19" t="s">
        <v>223</v>
      </c>
      <c r="E27" s="22" t="s">
        <v>222</v>
      </c>
      <c r="F27" s="20" t="s">
        <v>115</v>
      </c>
      <c r="G27" s="20" t="s">
        <v>116</v>
      </c>
      <c r="H27" s="20" t="s">
        <v>117</v>
      </c>
      <c r="I27" s="90"/>
    </row>
    <row r="28" spans="1:10" ht="25" customHeight="1" x14ac:dyDescent="0.25">
      <c r="A28" s="28"/>
      <c r="B28" s="22" t="s">
        <v>224</v>
      </c>
      <c r="C28" s="22" t="s">
        <v>224</v>
      </c>
      <c r="D28" s="19" t="s">
        <v>225</v>
      </c>
      <c r="E28" s="22" t="s">
        <v>224</v>
      </c>
      <c r="F28" s="19" t="s">
        <v>109</v>
      </c>
      <c r="G28" s="19" t="s">
        <v>110</v>
      </c>
      <c r="H28" s="19" t="s">
        <v>111</v>
      </c>
      <c r="I28" s="90"/>
    </row>
    <row r="29" spans="1:10" ht="25" customHeight="1" outlineLevel="1" x14ac:dyDescent="0.25">
      <c r="A29" s="80"/>
      <c r="B29" s="22" t="s">
        <v>226</v>
      </c>
      <c r="C29" s="22" t="s">
        <v>226</v>
      </c>
      <c r="D29" s="19" t="s">
        <v>227</v>
      </c>
      <c r="E29" s="22" t="s">
        <v>226</v>
      </c>
      <c r="F29" s="19" t="s">
        <v>109</v>
      </c>
      <c r="G29" s="19" t="s">
        <v>110</v>
      </c>
      <c r="H29" s="19" t="s">
        <v>111</v>
      </c>
      <c r="I29" s="32"/>
      <c r="J29" s="30"/>
    </row>
    <row r="30" spans="1:10" ht="25" customHeight="1" outlineLevel="1" x14ac:dyDescent="0.25">
      <c r="A30" s="25"/>
      <c r="B30" s="22" t="s">
        <v>228</v>
      </c>
      <c r="C30" s="22" t="s">
        <v>228</v>
      </c>
      <c r="D30" s="19" t="s">
        <v>229</v>
      </c>
      <c r="E30" s="22" t="s">
        <v>228</v>
      </c>
      <c r="F30" s="19" t="s">
        <v>109</v>
      </c>
      <c r="G30" s="19" t="s">
        <v>110</v>
      </c>
      <c r="H30" s="19" t="s">
        <v>111</v>
      </c>
      <c r="I30" s="32"/>
      <c r="J30" s="30"/>
    </row>
    <row r="31" spans="1:10" ht="25" customHeight="1" outlineLevel="1" x14ac:dyDescent="0.3">
      <c r="A31" s="25"/>
      <c r="B31" s="102" t="s">
        <v>230</v>
      </c>
      <c r="C31" s="102" t="s">
        <v>230</v>
      </c>
      <c r="D31" s="19" t="s">
        <v>231</v>
      </c>
      <c r="E31" s="102" t="s">
        <v>230</v>
      </c>
      <c r="F31" s="19" t="s">
        <v>109</v>
      </c>
      <c r="G31" s="19" t="s">
        <v>110</v>
      </c>
      <c r="H31" s="19" t="s">
        <v>111</v>
      </c>
      <c r="I31" s="32"/>
      <c r="J31" s="30"/>
    </row>
    <row r="32" spans="1:10" ht="25" customHeight="1" outlineLevel="1" x14ac:dyDescent="0.3">
      <c r="A32" s="25"/>
      <c r="B32" s="102" t="s">
        <v>232</v>
      </c>
      <c r="C32" s="102" t="s">
        <v>232</v>
      </c>
      <c r="D32" s="19" t="s">
        <v>233</v>
      </c>
      <c r="E32" s="102" t="s">
        <v>232</v>
      </c>
      <c r="F32" s="19" t="s">
        <v>109</v>
      </c>
      <c r="G32" s="19" t="s">
        <v>110</v>
      </c>
      <c r="H32" s="19" t="s">
        <v>111</v>
      </c>
      <c r="I32" s="32"/>
      <c r="J32" s="30"/>
    </row>
    <row r="33" spans="1:10" ht="25" customHeight="1" outlineLevel="1" x14ac:dyDescent="0.3">
      <c r="A33" s="25"/>
      <c r="B33" s="102" t="s">
        <v>234</v>
      </c>
      <c r="C33" s="102" t="s">
        <v>234</v>
      </c>
      <c r="D33" s="19" t="s">
        <v>235</v>
      </c>
      <c r="E33" s="102" t="s">
        <v>234</v>
      </c>
      <c r="F33" s="19" t="s">
        <v>109</v>
      </c>
      <c r="G33" s="19" t="s">
        <v>110</v>
      </c>
      <c r="H33" s="19" t="s">
        <v>111</v>
      </c>
      <c r="I33" s="32"/>
      <c r="J33" s="30"/>
    </row>
    <row r="34" spans="1:10" ht="25" customHeight="1" outlineLevel="1" x14ac:dyDescent="0.25">
      <c r="A34" s="25"/>
      <c r="B34" s="84" t="s">
        <v>236</v>
      </c>
      <c r="C34" s="22" t="s">
        <v>236</v>
      </c>
      <c r="D34" s="19" t="s">
        <v>237</v>
      </c>
      <c r="E34" s="22" t="s">
        <v>236</v>
      </c>
      <c r="F34" s="19" t="s">
        <v>109</v>
      </c>
      <c r="G34" s="19" t="s">
        <v>110</v>
      </c>
      <c r="H34" s="19" t="s">
        <v>111</v>
      </c>
      <c r="I34" s="32"/>
      <c r="J34" s="30"/>
    </row>
    <row r="35" spans="1:10" ht="25" customHeight="1" outlineLevel="1" x14ac:dyDescent="0.25">
      <c r="A35" s="25"/>
      <c r="B35" s="84" t="s">
        <v>238</v>
      </c>
      <c r="C35" s="22" t="s">
        <v>238</v>
      </c>
      <c r="D35" s="19" t="s">
        <v>239</v>
      </c>
      <c r="E35" s="22" t="s">
        <v>238</v>
      </c>
      <c r="F35" s="19" t="s">
        <v>109</v>
      </c>
      <c r="G35" s="19" t="s">
        <v>110</v>
      </c>
      <c r="H35" s="19" t="s">
        <v>111</v>
      </c>
      <c r="I35" s="32"/>
      <c r="J35" s="30"/>
    </row>
    <row r="36" spans="1:10" ht="25" customHeight="1" outlineLevel="1" x14ac:dyDescent="0.25">
      <c r="A36" s="25"/>
      <c r="B36" s="84" t="s">
        <v>240</v>
      </c>
      <c r="C36" s="22" t="s">
        <v>240</v>
      </c>
      <c r="D36" s="19" t="s">
        <v>241</v>
      </c>
      <c r="E36" s="22" t="s">
        <v>240</v>
      </c>
      <c r="F36" s="19" t="s">
        <v>109</v>
      </c>
      <c r="G36" s="19" t="s">
        <v>110</v>
      </c>
      <c r="H36" s="19" t="s">
        <v>111</v>
      </c>
      <c r="I36" s="32"/>
      <c r="J36" s="30"/>
    </row>
    <row r="37" spans="1:10" ht="25" customHeight="1" outlineLevel="1" x14ac:dyDescent="0.25">
      <c r="A37" s="25"/>
      <c r="B37" s="84" t="s">
        <v>242</v>
      </c>
      <c r="C37" s="22" t="s">
        <v>242</v>
      </c>
      <c r="D37" s="19" t="s">
        <v>243</v>
      </c>
      <c r="E37" s="22" t="s">
        <v>242</v>
      </c>
      <c r="F37" s="19" t="s">
        <v>109</v>
      </c>
      <c r="G37" s="19" t="s">
        <v>110</v>
      </c>
      <c r="H37" s="19" t="s">
        <v>111</v>
      </c>
      <c r="I37" s="32"/>
      <c r="J37" s="30"/>
    </row>
    <row r="38" spans="1:10" ht="25" customHeight="1" x14ac:dyDescent="0.25">
      <c r="A38" s="21" t="s">
        <v>26</v>
      </c>
      <c r="B38" s="24"/>
      <c r="C38" s="24"/>
      <c r="D38" s="24"/>
      <c r="E38" s="24"/>
      <c r="F38" s="24" t="str">
        <f t="shared" ref="F38:I38" si="2">F$2</f>
        <v>Code System</v>
      </c>
      <c r="G38" s="24" t="str">
        <f t="shared" si="2"/>
        <v>Code System OID</v>
      </c>
      <c r="H38" s="24" t="str">
        <f t="shared" si="2"/>
        <v>HL70396 value</v>
      </c>
      <c r="I38" s="24" t="str">
        <f t="shared" si="2"/>
        <v>Notes</v>
      </c>
    </row>
    <row r="39" spans="1:10" ht="17.5" customHeight="1" outlineLevel="1" x14ac:dyDescent="0.25">
      <c r="A39" s="144" t="s">
        <v>134</v>
      </c>
      <c r="B39" s="145"/>
      <c r="C39" s="145"/>
      <c r="D39" s="145"/>
      <c r="E39" s="145"/>
      <c r="F39" s="145"/>
      <c r="G39" s="145"/>
      <c r="H39" s="145"/>
      <c r="I39" s="146"/>
      <c r="J39" s="30"/>
    </row>
    <row r="40" spans="1:10" ht="25" customHeight="1" x14ac:dyDescent="0.25">
      <c r="A40" s="21" t="s">
        <v>31</v>
      </c>
      <c r="B40" s="24" t="str">
        <f t="shared" ref="B40:I40" si="3">B$2</f>
        <v>Concept Name</v>
      </c>
      <c r="C40" s="24" t="str">
        <f t="shared" si="3"/>
        <v>Display Term in RV</v>
      </c>
      <c r="D40" s="24" t="str">
        <f t="shared" si="3"/>
        <v>Standard Code In Message</v>
      </c>
      <c r="E40" s="24" t="str">
        <f t="shared" si="3"/>
        <v>Standard Name in Message</v>
      </c>
      <c r="F40" s="24" t="str">
        <f t="shared" si="3"/>
        <v>Code System</v>
      </c>
      <c r="G40" s="24" t="str">
        <f t="shared" si="3"/>
        <v>Code System OID</v>
      </c>
      <c r="H40" s="24" t="str">
        <f t="shared" si="3"/>
        <v>HL70396 value</v>
      </c>
      <c r="I40" s="24" t="str">
        <f t="shared" si="3"/>
        <v>Notes</v>
      </c>
    </row>
    <row r="41" spans="1:10" ht="17.5" customHeight="1" outlineLevel="1" x14ac:dyDescent="0.25">
      <c r="A41" s="144" t="s">
        <v>135</v>
      </c>
      <c r="B41" s="145"/>
      <c r="C41" s="145"/>
      <c r="D41" s="145"/>
      <c r="E41" s="145"/>
      <c r="F41" s="145"/>
      <c r="G41" s="145"/>
      <c r="H41" s="145"/>
      <c r="I41" s="146"/>
      <c r="J41" s="30"/>
    </row>
    <row r="42" spans="1:10" s="55" customFormat="1" ht="14.15" customHeight="1" x14ac:dyDescent="0.25">
      <c r="A42" s="81" t="s">
        <v>136</v>
      </c>
      <c r="B42" s="82"/>
      <c r="C42" s="82"/>
      <c r="D42" s="82"/>
      <c r="E42" s="82"/>
      <c r="F42" s="82"/>
      <c r="G42" s="83"/>
      <c r="H42" s="83"/>
      <c r="I42" s="83"/>
    </row>
    <row r="44" spans="1:10" ht="25" customHeight="1" x14ac:dyDescent="0.25">
      <c r="A44" s="21" t="s">
        <v>106</v>
      </c>
      <c r="B44" s="24" t="str">
        <f t="shared" ref="B44:I44" si="4">B$2</f>
        <v>Concept Name</v>
      </c>
      <c r="C44" s="24" t="str">
        <f t="shared" si="4"/>
        <v>Display Term in RV</v>
      </c>
      <c r="D44" s="24" t="str">
        <f t="shared" si="4"/>
        <v>Standard Code In Message</v>
      </c>
      <c r="E44" s="24" t="str">
        <f t="shared" si="4"/>
        <v>Standard Name in Message</v>
      </c>
      <c r="F44" s="24" t="str">
        <f t="shared" si="4"/>
        <v>Code System</v>
      </c>
      <c r="G44" s="24" t="str">
        <f t="shared" si="4"/>
        <v>Code System OID</v>
      </c>
      <c r="H44" s="24" t="str">
        <f t="shared" si="4"/>
        <v>HL70396 value</v>
      </c>
      <c r="I44" s="24" t="str">
        <f t="shared" si="4"/>
        <v>Notes</v>
      </c>
    </row>
    <row r="45" spans="1:10" ht="25" customHeight="1" outlineLevel="1" x14ac:dyDescent="0.25">
      <c r="A45" s="19"/>
      <c r="B45" s="91" t="s">
        <v>186</v>
      </c>
      <c r="C45" s="91" t="s">
        <v>186</v>
      </c>
      <c r="D45" s="19" t="s">
        <v>187</v>
      </c>
      <c r="E45" s="85" t="s">
        <v>186</v>
      </c>
      <c r="F45" s="19" t="s">
        <v>109</v>
      </c>
      <c r="G45" s="19" t="s">
        <v>110</v>
      </c>
      <c r="H45" s="19" t="s">
        <v>111</v>
      </c>
      <c r="I45" s="34"/>
      <c r="J45" s="30"/>
    </row>
    <row r="46" spans="1:10" s="27" customFormat="1" ht="14.15" customHeight="1" x14ac:dyDescent="0.25">
      <c r="A46" s="25"/>
      <c r="B46" s="92"/>
      <c r="C46" s="92"/>
      <c r="D46" s="25"/>
      <c r="E46" s="25"/>
      <c r="F46" s="25"/>
    </row>
    <row r="47" spans="1:10" ht="37" customHeight="1" x14ac:dyDescent="0.25">
      <c r="A47" s="99" t="s">
        <v>112</v>
      </c>
      <c r="B47" s="93" t="str">
        <f t="shared" ref="B47:I47" si="5">B$2</f>
        <v>Concept Name</v>
      </c>
      <c r="C47" s="93" t="str">
        <f t="shared" si="5"/>
        <v>Display Term in RV</v>
      </c>
      <c r="D47" s="24" t="str">
        <f t="shared" si="5"/>
        <v>Standard Code In Message</v>
      </c>
      <c r="E47" s="24" t="str">
        <f t="shared" si="5"/>
        <v>Standard Name in Message</v>
      </c>
      <c r="F47" s="24" t="str">
        <f t="shared" si="5"/>
        <v>Code System</v>
      </c>
      <c r="G47" s="24" t="str">
        <f t="shared" si="5"/>
        <v>Code System OID</v>
      </c>
      <c r="H47" s="24" t="str">
        <f t="shared" si="5"/>
        <v>HL70396 value</v>
      </c>
      <c r="I47" s="24" t="str">
        <f t="shared" si="5"/>
        <v>Notes</v>
      </c>
    </row>
    <row r="48" spans="1:10" ht="25" customHeight="1" outlineLevel="1" x14ac:dyDescent="0.25">
      <c r="A48" s="19"/>
      <c r="B48" s="84" t="s">
        <v>244</v>
      </c>
      <c r="C48" s="84" t="s">
        <v>244</v>
      </c>
      <c r="D48" s="19" t="s">
        <v>245</v>
      </c>
      <c r="E48" s="22" t="s">
        <v>244</v>
      </c>
      <c r="F48" s="19" t="s">
        <v>109</v>
      </c>
      <c r="G48" s="19" t="s">
        <v>110</v>
      </c>
      <c r="H48" s="19" t="s">
        <v>111</v>
      </c>
      <c r="I48" s="32"/>
      <c r="J48" s="30"/>
    </row>
    <row r="49" spans="1:10" ht="25" customHeight="1" outlineLevel="1" x14ac:dyDescent="0.25">
      <c r="A49" s="25"/>
      <c r="B49" s="84" t="s">
        <v>246</v>
      </c>
      <c r="C49" s="84" t="s">
        <v>246</v>
      </c>
      <c r="D49" s="19" t="s">
        <v>247</v>
      </c>
      <c r="E49" s="22" t="s">
        <v>246</v>
      </c>
      <c r="F49" s="19" t="s">
        <v>109</v>
      </c>
      <c r="G49" s="19" t="s">
        <v>110</v>
      </c>
      <c r="H49" s="19" t="s">
        <v>111</v>
      </c>
      <c r="I49" s="32"/>
      <c r="J49" s="30"/>
    </row>
    <row r="50" spans="1:10" ht="25" customHeight="1" outlineLevel="1" x14ac:dyDescent="0.25">
      <c r="A50" s="25"/>
      <c r="B50" s="84" t="s">
        <v>248</v>
      </c>
      <c r="C50" s="84" t="s">
        <v>248</v>
      </c>
      <c r="D50" s="19" t="s">
        <v>249</v>
      </c>
      <c r="E50" s="22" t="s">
        <v>248</v>
      </c>
      <c r="F50" s="19" t="s">
        <v>109</v>
      </c>
      <c r="G50" s="19" t="s">
        <v>110</v>
      </c>
      <c r="H50" s="19" t="s">
        <v>111</v>
      </c>
      <c r="I50" s="32"/>
      <c r="J50" s="30"/>
    </row>
    <row r="51" spans="1:10" ht="25" customHeight="1" outlineLevel="1" x14ac:dyDescent="0.25">
      <c r="A51" s="25"/>
      <c r="B51" s="84" t="s">
        <v>250</v>
      </c>
      <c r="C51" s="84" t="s">
        <v>250</v>
      </c>
      <c r="D51" s="19" t="s">
        <v>251</v>
      </c>
      <c r="E51" s="22" t="s">
        <v>250</v>
      </c>
      <c r="F51" s="19" t="s">
        <v>109</v>
      </c>
      <c r="G51" s="19" t="s">
        <v>110</v>
      </c>
      <c r="H51" s="19" t="s">
        <v>111</v>
      </c>
      <c r="I51" s="32"/>
      <c r="J51" s="30"/>
    </row>
    <row r="52" spans="1:10" ht="25" customHeight="1" outlineLevel="1" x14ac:dyDescent="0.25">
      <c r="A52" s="25"/>
      <c r="B52" s="84" t="s">
        <v>252</v>
      </c>
      <c r="C52" s="84" t="s">
        <v>252</v>
      </c>
      <c r="D52" s="19" t="s">
        <v>253</v>
      </c>
      <c r="E52" s="22" t="s">
        <v>252</v>
      </c>
      <c r="F52" s="19" t="s">
        <v>109</v>
      </c>
      <c r="G52" s="19" t="s">
        <v>110</v>
      </c>
      <c r="H52" s="19" t="s">
        <v>111</v>
      </c>
      <c r="I52" s="32"/>
      <c r="J52" s="30"/>
    </row>
    <row r="53" spans="1:10" ht="25" customHeight="1" outlineLevel="1" x14ac:dyDescent="0.25">
      <c r="A53" s="25"/>
      <c r="B53" s="84" t="s">
        <v>254</v>
      </c>
      <c r="C53" s="84" t="s">
        <v>254</v>
      </c>
      <c r="D53" s="19" t="s">
        <v>255</v>
      </c>
      <c r="E53" s="22" t="s">
        <v>254</v>
      </c>
      <c r="F53" s="19" t="s">
        <v>109</v>
      </c>
      <c r="G53" s="19" t="s">
        <v>110</v>
      </c>
      <c r="H53" s="19" t="s">
        <v>111</v>
      </c>
      <c r="I53" s="32"/>
      <c r="J53" s="30"/>
    </row>
    <row r="54" spans="1:10" ht="25" customHeight="1" outlineLevel="1" x14ac:dyDescent="0.25">
      <c r="A54" s="25"/>
      <c r="B54" s="84" t="s">
        <v>256</v>
      </c>
      <c r="C54" s="84" t="s">
        <v>256</v>
      </c>
      <c r="D54" s="19" t="s">
        <v>257</v>
      </c>
      <c r="E54" s="22" t="s">
        <v>256</v>
      </c>
      <c r="F54" s="19" t="s">
        <v>109</v>
      </c>
      <c r="G54" s="19" t="s">
        <v>110</v>
      </c>
      <c r="H54" s="19" t="s">
        <v>111</v>
      </c>
      <c r="I54" s="32"/>
      <c r="J54" s="30"/>
    </row>
    <row r="55" spans="1:10" ht="25" customHeight="1" outlineLevel="1" x14ac:dyDescent="0.25">
      <c r="A55" s="25"/>
      <c r="B55" s="53" t="s">
        <v>387</v>
      </c>
      <c r="C55" s="53" t="s">
        <v>387</v>
      </c>
      <c r="D55" s="48" t="s">
        <v>388</v>
      </c>
      <c r="E55" s="53" t="s">
        <v>387</v>
      </c>
      <c r="F55" s="48" t="s">
        <v>109</v>
      </c>
      <c r="G55" s="48" t="s">
        <v>110</v>
      </c>
      <c r="H55" s="48" t="s">
        <v>111</v>
      </c>
      <c r="I55" s="32"/>
      <c r="J55" s="30"/>
    </row>
    <row r="56" spans="1:10" ht="25" customHeight="1" x14ac:dyDescent="0.25">
      <c r="A56" s="21" t="s">
        <v>26</v>
      </c>
      <c r="B56" s="24"/>
      <c r="C56" s="24"/>
      <c r="D56" s="24"/>
      <c r="E56" s="24"/>
      <c r="F56" s="24" t="str">
        <f t="shared" ref="F56:I56" si="6">F$2</f>
        <v>Code System</v>
      </c>
      <c r="G56" s="24" t="str">
        <f t="shared" si="6"/>
        <v>Code System OID</v>
      </c>
      <c r="H56" s="24" t="str">
        <f t="shared" si="6"/>
        <v>HL70396 value</v>
      </c>
      <c r="I56" s="24" t="str">
        <f t="shared" si="6"/>
        <v>Notes</v>
      </c>
    </row>
    <row r="57" spans="1:10" ht="17.5" customHeight="1" outlineLevel="1" x14ac:dyDescent="0.25">
      <c r="A57" s="144" t="s">
        <v>134</v>
      </c>
      <c r="B57" s="145"/>
      <c r="C57" s="145"/>
      <c r="D57" s="145"/>
      <c r="E57" s="145"/>
      <c r="F57" s="145"/>
      <c r="G57" s="145"/>
      <c r="H57" s="145"/>
      <c r="I57" s="146"/>
      <c r="J57" s="30"/>
    </row>
    <row r="58" spans="1:10" ht="25" customHeight="1" x14ac:dyDescent="0.25">
      <c r="A58" s="21" t="s">
        <v>31</v>
      </c>
      <c r="B58" s="24" t="str">
        <f t="shared" ref="B58:I58" si="7">B$2</f>
        <v>Concept Name</v>
      </c>
      <c r="C58" s="24" t="str">
        <f t="shared" si="7"/>
        <v>Display Term in RV</v>
      </c>
      <c r="D58" s="24" t="str">
        <f t="shared" si="7"/>
        <v>Standard Code In Message</v>
      </c>
      <c r="E58" s="24" t="str">
        <f t="shared" si="7"/>
        <v>Standard Name in Message</v>
      </c>
      <c r="F58" s="24" t="str">
        <f t="shared" si="7"/>
        <v>Code System</v>
      </c>
      <c r="G58" s="24" t="str">
        <f t="shared" si="7"/>
        <v>Code System OID</v>
      </c>
      <c r="H58" s="24" t="str">
        <f t="shared" si="7"/>
        <v>HL70396 value</v>
      </c>
      <c r="I58" s="24" t="str">
        <f t="shared" si="7"/>
        <v>Notes</v>
      </c>
    </row>
    <row r="59" spans="1:10" ht="17.5" customHeight="1" outlineLevel="1" x14ac:dyDescent="0.25">
      <c r="A59" s="144" t="s">
        <v>135</v>
      </c>
      <c r="B59" s="145"/>
      <c r="C59" s="145"/>
      <c r="D59" s="145"/>
      <c r="E59" s="145"/>
      <c r="F59" s="145"/>
      <c r="G59" s="145"/>
      <c r="H59" s="145"/>
      <c r="I59" s="146"/>
      <c r="J59" s="30"/>
    </row>
  </sheetData>
  <mergeCells count="5">
    <mergeCell ref="A1:J1"/>
    <mergeCell ref="A39:I39"/>
    <mergeCell ref="A41:I41"/>
    <mergeCell ref="A57:I57"/>
    <mergeCell ref="A59:I59"/>
  </mergeCells>
  <phoneticPr fontId="44" type="noConversion"/>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2BBC-640F-431E-9615-14052292B4DA}">
  <sheetPr>
    <tabColor theme="0"/>
  </sheetPr>
  <dimension ref="A1:J15"/>
  <sheetViews>
    <sheetView zoomScale="90" zoomScaleNormal="90" zoomScaleSheetLayoutView="100" workbookViewId="0">
      <selection activeCell="A3" sqref="A3"/>
    </sheetView>
  </sheetViews>
  <sheetFormatPr defaultColWidth="9.1796875" defaultRowHeight="14" outlineLevelRow="1" x14ac:dyDescent="0.25"/>
  <cols>
    <col min="1" max="1" width="26.453125" style="23" customWidth="1"/>
    <col min="2" max="2" width="57.54296875" style="23" customWidth="1"/>
    <col min="3" max="3" width="54.1796875" style="23" customWidth="1"/>
    <col min="4" max="4" width="35.1796875" style="23" customWidth="1"/>
    <col min="5" max="5" width="52.453125" style="23" customWidth="1"/>
    <col min="6" max="6" width="27.7265625" style="23" customWidth="1"/>
    <col min="7" max="7" width="36.453125" style="23" customWidth="1"/>
    <col min="8" max="8" width="34.1796875" style="23" customWidth="1"/>
    <col min="9" max="9" width="49.81640625" style="33" customWidth="1"/>
    <col min="10" max="10" width="0.54296875" style="18" hidden="1" customWidth="1"/>
    <col min="11" max="11" width="16.179687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39.75" customHeight="1" outlineLevel="1" x14ac:dyDescent="0.25">
      <c r="A3" s="35"/>
      <c r="B3" s="36" t="s">
        <v>97</v>
      </c>
      <c r="C3" s="36" t="s">
        <v>98</v>
      </c>
      <c r="D3" s="36" t="s">
        <v>99</v>
      </c>
      <c r="E3" s="36" t="s">
        <v>100</v>
      </c>
      <c r="F3" s="36" t="s">
        <v>101</v>
      </c>
      <c r="G3" s="36" t="s">
        <v>102</v>
      </c>
      <c r="H3" s="36" t="s">
        <v>103</v>
      </c>
      <c r="I3" s="107" t="s">
        <v>104</v>
      </c>
      <c r="J3" s="37"/>
    </row>
    <row r="4" spans="1:10" s="55" customFormat="1" ht="14.15" customHeight="1" x14ac:dyDescent="0.25">
      <c r="A4" s="81" t="s">
        <v>105</v>
      </c>
      <c r="B4" s="82"/>
      <c r="C4" s="82"/>
      <c r="D4" s="82"/>
      <c r="E4" s="82"/>
      <c r="F4" s="82"/>
      <c r="G4" s="83"/>
      <c r="H4" s="83"/>
      <c r="I4" s="83"/>
    </row>
    <row r="6" spans="1:10" ht="25" customHeight="1" x14ac:dyDescent="0.25">
      <c r="A6" s="21" t="s">
        <v>106</v>
      </c>
      <c r="B6" s="24" t="str">
        <f t="shared" ref="B6:I6" si="0">B$2</f>
        <v>Concept Name</v>
      </c>
      <c r="C6" s="24" t="str">
        <f t="shared" si="0"/>
        <v>Display Term in RV</v>
      </c>
      <c r="D6" s="24" t="str">
        <f t="shared" si="0"/>
        <v>Standard Code In Message</v>
      </c>
      <c r="E6" s="24" t="str">
        <f t="shared" si="0"/>
        <v>Standard Name in Message</v>
      </c>
      <c r="F6" s="24" t="str">
        <f t="shared" si="0"/>
        <v>Code System</v>
      </c>
      <c r="G6" s="24" t="str">
        <f t="shared" si="0"/>
        <v>Code System OID</v>
      </c>
      <c r="H6" s="24" t="str">
        <f t="shared" si="0"/>
        <v>HL70396 value</v>
      </c>
      <c r="I6" s="24" t="str">
        <f t="shared" si="0"/>
        <v>Notes</v>
      </c>
    </row>
    <row r="7" spans="1:10" ht="25" customHeight="1" outlineLevel="1" x14ac:dyDescent="0.25">
      <c r="A7" s="19"/>
      <c r="B7" s="22" t="s">
        <v>258</v>
      </c>
      <c r="C7" s="19" t="s">
        <v>258</v>
      </c>
      <c r="D7" s="19" t="s">
        <v>259</v>
      </c>
      <c r="E7" s="22" t="s">
        <v>258</v>
      </c>
      <c r="F7" s="19" t="s">
        <v>109</v>
      </c>
      <c r="G7" s="19" t="s">
        <v>110</v>
      </c>
      <c r="H7" s="19" t="s">
        <v>111</v>
      </c>
      <c r="I7" s="34"/>
      <c r="J7" s="30"/>
    </row>
    <row r="8" spans="1:10" s="27" customFormat="1" ht="14.15" customHeight="1" x14ac:dyDescent="0.25">
      <c r="A8" s="25"/>
      <c r="B8" s="25"/>
      <c r="C8" s="25"/>
      <c r="D8" s="25"/>
      <c r="E8" s="25"/>
      <c r="F8" s="25"/>
    </row>
    <row r="9" spans="1:10" ht="25" customHeight="1" x14ac:dyDescent="0.25">
      <c r="A9" s="99" t="s">
        <v>112</v>
      </c>
      <c r="B9" s="24" t="str">
        <f t="shared" ref="B9:I9" si="1">B$2</f>
        <v>Concept Name</v>
      </c>
      <c r="C9" s="24" t="str">
        <f t="shared" si="1"/>
        <v>Display Term in RV</v>
      </c>
      <c r="D9" s="24" t="str">
        <f t="shared" si="1"/>
        <v>Standard Code In Message</v>
      </c>
      <c r="E9" s="24" t="str">
        <f t="shared" si="1"/>
        <v>Standard Name in Message</v>
      </c>
      <c r="F9" s="24" t="str">
        <f t="shared" si="1"/>
        <v>Code System</v>
      </c>
      <c r="G9" s="24" t="str">
        <f t="shared" si="1"/>
        <v>Code System OID</v>
      </c>
      <c r="H9" s="24" t="str">
        <f t="shared" si="1"/>
        <v>HL70396 value</v>
      </c>
      <c r="I9" s="24" t="str">
        <f t="shared" si="1"/>
        <v>Notes</v>
      </c>
    </row>
    <row r="10" spans="1:10" ht="25" customHeight="1" outlineLevel="1" x14ac:dyDescent="0.25">
      <c r="A10" s="19"/>
      <c r="B10" s="84" t="s">
        <v>260</v>
      </c>
      <c r="C10" s="84" t="s">
        <v>260</v>
      </c>
      <c r="D10" s="19" t="s">
        <v>261</v>
      </c>
      <c r="E10" s="84" t="s">
        <v>260</v>
      </c>
      <c r="F10" s="19" t="s">
        <v>109</v>
      </c>
      <c r="G10" s="19" t="s">
        <v>110</v>
      </c>
      <c r="H10" s="19" t="s">
        <v>111</v>
      </c>
      <c r="I10" s="32"/>
      <c r="J10" s="30"/>
    </row>
    <row r="11" spans="1:10" ht="27" customHeight="1" outlineLevel="1" x14ac:dyDescent="0.25">
      <c r="A11" s="25"/>
      <c r="B11" s="84" t="s">
        <v>262</v>
      </c>
      <c r="C11" s="84" t="s">
        <v>262</v>
      </c>
      <c r="D11" s="19" t="s">
        <v>263</v>
      </c>
      <c r="E11" s="84" t="s">
        <v>262</v>
      </c>
      <c r="F11" s="19" t="s">
        <v>109</v>
      </c>
      <c r="G11" s="19" t="s">
        <v>110</v>
      </c>
      <c r="H11" s="19" t="s">
        <v>111</v>
      </c>
      <c r="I11" s="32"/>
      <c r="J11" s="30"/>
    </row>
    <row r="12" spans="1:10" ht="25" customHeight="1" x14ac:dyDescent="0.25">
      <c r="A12" s="21" t="s">
        <v>26</v>
      </c>
      <c r="B12" s="24"/>
      <c r="C12" s="24"/>
      <c r="D12" s="24"/>
      <c r="E12" s="24"/>
      <c r="F12" s="24" t="str">
        <f t="shared" ref="F12:I12" si="2">F$2</f>
        <v>Code System</v>
      </c>
      <c r="G12" s="24" t="str">
        <f t="shared" si="2"/>
        <v>Code System OID</v>
      </c>
      <c r="H12" s="24" t="str">
        <f t="shared" si="2"/>
        <v>HL70396 value</v>
      </c>
      <c r="I12" s="24" t="str">
        <f t="shared" si="2"/>
        <v>Notes</v>
      </c>
    </row>
    <row r="13" spans="1:10" ht="17.5" customHeight="1" outlineLevel="1" x14ac:dyDescent="0.25">
      <c r="A13" s="144" t="s">
        <v>134</v>
      </c>
      <c r="B13" s="145"/>
      <c r="C13" s="145"/>
      <c r="D13" s="145"/>
      <c r="E13" s="145"/>
      <c r="F13" s="145"/>
      <c r="G13" s="145"/>
      <c r="H13" s="145"/>
      <c r="I13" s="146"/>
      <c r="J13" s="30"/>
    </row>
    <row r="14" spans="1:10" ht="25" customHeight="1" x14ac:dyDescent="0.25">
      <c r="A14" s="21" t="s">
        <v>31</v>
      </c>
      <c r="B14" s="24" t="str">
        <f t="shared" ref="B14:I14" si="3">B$2</f>
        <v>Concept Name</v>
      </c>
      <c r="C14" s="24" t="str">
        <f t="shared" si="3"/>
        <v>Display Term in RV</v>
      </c>
      <c r="D14" s="24" t="str">
        <f t="shared" si="3"/>
        <v>Standard Code In Message</v>
      </c>
      <c r="E14" s="24" t="str">
        <f t="shared" si="3"/>
        <v>Standard Name in Message</v>
      </c>
      <c r="F14" s="24" t="str">
        <f t="shared" si="3"/>
        <v>Code System</v>
      </c>
      <c r="G14" s="24" t="str">
        <f t="shared" si="3"/>
        <v>Code System OID</v>
      </c>
      <c r="H14" s="24" t="str">
        <f t="shared" si="3"/>
        <v>HL70396 value</v>
      </c>
      <c r="I14" s="24" t="str">
        <f t="shared" si="3"/>
        <v>Notes</v>
      </c>
    </row>
    <row r="15" spans="1:10" ht="17.5" customHeight="1" outlineLevel="1" x14ac:dyDescent="0.25">
      <c r="A15" s="144" t="s">
        <v>135</v>
      </c>
      <c r="B15" s="145"/>
      <c r="C15" s="145"/>
      <c r="D15" s="145"/>
      <c r="E15" s="145"/>
      <c r="F15" s="145"/>
      <c r="G15" s="145"/>
      <c r="H15" s="145"/>
      <c r="I15" s="146"/>
      <c r="J15" s="30"/>
    </row>
  </sheetData>
  <mergeCells count="3">
    <mergeCell ref="A1:J1"/>
    <mergeCell ref="A13:I13"/>
    <mergeCell ref="A15:I15"/>
  </mergeCells>
  <phoneticPr fontId="44" type="noConversion"/>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87A3-AA7E-47C0-87B0-B6DDC721DC45}">
  <sheetPr>
    <tabColor theme="0"/>
  </sheetPr>
  <dimension ref="A1:J31"/>
  <sheetViews>
    <sheetView zoomScale="90" zoomScaleNormal="90" zoomScaleSheetLayoutView="100" workbookViewId="0">
      <selection activeCell="B24" sqref="B24"/>
    </sheetView>
  </sheetViews>
  <sheetFormatPr defaultColWidth="9.1796875" defaultRowHeight="14" outlineLevelRow="1" x14ac:dyDescent="0.25"/>
  <cols>
    <col min="1" max="1" width="26.453125" style="23" customWidth="1"/>
    <col min="2" max="2" width="60.26953125" style="23" customWidth="1"/>
    <col min="3" max="3" width="54.1796875" style="23" customWidth="1"/>
    <col min="4" max="4" width="35.1796875" style="23" customWidth="1"/>
    <col min="5" max="5" width="52.453125" style="23" customWidth="1"/>
    <col min="6" max="6" width="27.7265625" style="23" customWidth="1"/>
    <col min="7" max="7" width="36.453125" style="23" customWidth="1"/>
    <col min="8" max="8" width="34.1796875" style="23" customWidth="1"/>
    <col min="9" max="9" width="47.81640625" style="33" customWidth="1"/>
    <col min="10" max="10" width="0.1796875" style="18" customWidth="1"/>
    <col min="11" max="11" width="16.1796875" style="18" customWidth="1"/>
    <col min="12" max="16384" width="9.1796875" style="18"/>
  </cols>
  <sheetData>
    <row r="1" spans="1:10" ht="72" customHeight="1" x14ac:dyDescent="0.25">
      <c r="A1" s="142" t="s">
        <v>7</v>
      </c>
      <c r="B1" s="142"/>
      <c r="C1" s="142"/>
      <c r="D1" s="142"/>
      <c r="E1" s="142"/>
      <c r="F1" s="142"/>
      <c r="G1" s="142"/>
      <c r="H1" s="142"/>
      <c r="I1" s="142"/>
      <c r="J1" s="142"/>
    </row>
    <row r="2" spans="1:10" ht="25" customHeight="1" x14ac:dyDescent="0.25">
      <c r="A2" s="21" t="s">
        <v>88</v>
      </c>
      <c r="B2" s="24" t="s">
        <v>89</v>
      </c>
      <c r="C2" s="24" t="s">
        <v>90</v>
      </c>
      <c r="D2" s="24" t="s">
        <v>91</v>
      </c>
      <c r="E2" s="24" t="s">
        <v>92</v>
      </c>
      <c r="F2" s="24" t="s">
        <v>93</v>
      </c>
      <c r="G2" s="24" t="s">
        <v>94</v>
      </c>
      <c r="H2" s="24" t="s">
        <v>95</v>
      </c>
      <c r="I2" s="24" t="s">
        <v>96</v>
      </c>
    </row>
    <row r="3" spans="1:10" s="38" customFormat="1" ht="39.75" customHeight="1" outlineLevel="1" x14ac:dyDescent="0.25">
      <c r="A3" s="35"/>
      <c r="B3" s="36" t="s">
        <v>97</v>
      </c>
      <c r="C3" s="36" t="s">
        <v>98</v>
      </c>
      <c r="D3" s="36" t="s">
        <v>99</v>
      </c>
      <c r="E3" s="36" t="s">
        <v>100</v>
      </c>
      <c r="F3" s="36" t="s">
        <v>101</v>
      </c>
      <c r="G3" s="36" t="s">
        <v>102</v>
      </c>
      <c r="H3" s="36" t="s">
        <v>103</v>
      </c>
      <c r="I3" s="107" t="s">
        <v>104</v>
      </c>
      <c r="J3" s="37"/>
    </row>
    <row r="4" spans="1:10" s="55" customFormat="1" ht="14.15" customHeight="1" x14ac:dyDescent="0.25">
      <c r="A4" s="81" t="s">
        <v>105</v>
      </c>
      <c r="B4" s="82"/>
      <c r="C4" s="82"/>
      <c r="D4" s="82"/>
      <c r="E4" s="82"/>
      <c r="F4" s="82"/>
      <c r="G4" s="83"/>
      <c r="H4" s="83"/>
      <c r="I4" s="83"/>
    </row>
    <row r="6" spans="1:10" ht="25" customHeight="1" x14ac:dyDescent="0.25">
      <c r="A6" s="21" t="s">
        <v>106</v>
      </c>
      <c r="B6" s="24" t="str">
        <f t="shared" ref="B6:I6" si="0">B$2</f>
        <v>Concept Name</v>
      </c>
      <c r="C6" s="24" t="str">
        <f t="shared" si="0"/>
        <v>Display Term in RV</v>
      </c>
      <c r="D6" s="24" t="str">
        <f t="shared" si="0"/>
        <v>Standard Code In Message</v>
      </c>
      <c r="E6" s="24" t="str">
        <f t="shared" si="0"/>
        <v>Standard Name in Message</v>
      </c>
      <c r="F6" s="24" t="str">
        <f t="shared" si="0"/>
        <v>Code System</v>
      </c>
      <c r="G6" s="24" t="str">
        <f t="shared" si="0"/>
        <v>Code System OID</v>
      </c>
      <c r="H6" s="24" t="str">
        <f t="shared" si="0"/>
        <v>HL70396 value</v>
      </c>
      <c r="I6" s="24" t="str">
        <f t="shared" si="0"/>
        <v>Notes</v>
      </c>
    </row>
    <row r="7" spans="1:10" ht="25" customHeight="1" outlineLevel="1" x14ac:dyDescent="0.25">
      <c r="A7" s="19"/>
      <c r="B7" s="86" t="s">
        <v>264</v>
      </c>
      <c r="C7" s="86" t="s">
        <v>264</v>
      </c>
      <c r="D7" s="19" t="s">
        <v>265</v>
      </c>
      <c r="E7" s="86" t="s">
        <v>264</v>
      </c>
      <c r="F7" s="19" t="s">
        <v>109</v>
      </c>
      <c r="G7" s="19" t="s">
        <v>110</v>
      </c>
      <c r="H7" s="19" t="s">
        <v>111</v>
      </c>
      <c r="I7" s="34"/>
      <c r="J7" s="30"/>
    </row>
    <row r="8" spans="1:10" s="27" customFormat="1" ht="14.15" customHeight="1" x14ac:dyDescent="0.25">
      <c r="A8" s="25"/>
      <c r="B8" s="25"/>
      <c r="C8" s="25"/>
      <c r="D8" s="25"/>
      <c r="E8" s="25"/>
      <c r="F8" s="25"/>
    </row>
    <row r="9" spans="1:10" ht="28.5" customHeight="1" x14ac:dyDescent="0.25">
      <c r="A9" s="99" t="s">
        <v>112</v>
      </c>
      <c r="B9" s="24" t="str">
        <f t="shared" ref="B9:I9" si="1">B$2</f>
        <v>Concept Name</v>
      </c>
      <c r="C9" s="24" t="str">
        <f t="shared" si="1"/>
        <v>Display Term in RV</v>
      </c>
      <c r="D9" s="24" t="str">
        <f t="shared" si="1"/>
        <v>Standard Code In Message</v>
      </c>
      <c r="E9" s="24" t="str">
        <f t="shared" si="1"/>
        <v>Standard Name in Message</v>
      </c>
      <c r="F9" s="24" t="str">
        <f t="shared" si="1"/>
        <v>Code System</v>
      </c>
      <c r="G9" s="24" t="str">
        <f t="shared" si="1"/>
        <v>Code System OID</v>
      </c>
      <c r="H9" s="24" t="str">
        <f t="shared" si="1"/>
        <v>HL70396 value</v>
      </c>
      <c r="I9" s="24" t="str">
        <f t="shared" si="1"/>
        <v>Notes</v>
      </c>
    </row>
    <row r="10" spans="1:10" ht="42" customHeight="1" outlineLevel="1" x14ac:dyDescent="0.25">
      <c r="A10" s="19"/>
      <c r="B10" s="84" t="s">
        <v>266</v>
      </c>
      <c r="C10" s="22" t="s">
        <v>266</v>
      </c>
      <c r="D10" s="19" t="s">
        <v>267</v>
      </c>
      <c r="E10" s="22" t="s">
        <v>266</v>
      </c>
      <c r="F10" s="20" t="s">
        <v>115</v>
      </c>
      <c r="G10" s="20" t="s">
        <v>116</v>
      </c>
      <c r="H10" s="20" t="s">
        <v>117</v>
      </c>
      <c r="I10" s="97"/>
      <c r="J10" s="30"/>
    </row>
    <row r="11" spans="1:10" ht="25" customHeight="1" outlineLevel="1" x14ac:dyDescent="0.25">
      <c r="A11" s="25"/>
      <c r="B11" s="84" t="s">
        <v>268</v>
      </c>
      <c r="C11" s="22" t="s">
        <v>268</v>
      </c>
      <c r="D11" s="19" t="s">
        <v>269</v>
      </c>
      <c r="E11" s="84" t="s">
        <v>268</v>
      </c>
      <c r="F11" s="20" t="s">
        <v>115</v>
      </c>
      <c r="G11" s="20" t="s">
        <v>116</v>
      </c>
      <c r="H11" s="20" t="s">
        <v>117</v>
      </c>
      <c r="I11" s="100"/>
      <c r="J11" s="30"/>
    </row>
    <row r="12" spans="1:10" ht="40.5" customHeight="1" outlineLevel="1" x14ac:dyDescent="0.25">
      <c r="A12" s="25"/>
      <c r="B12" s="84" t="s">
        <v>270</v>
      </c>
      <c r="C12" s="22" t="s">
        <v>270</v>
      </c>
      <c r="D12" s="19" t="s">
        <v>271</v>
      </c>
      <c r="E12" s="84" t="s">
        <v>270</v>
      </c>
      <c r="F12" s="20" t="s">
        <v>115</v>
      </c>
      <c r="G12" s="20" t="s">
        <v>116</v>
      </c>
      <c r="H12" s="20" t="s">
        <v>117</v>
      </c>
      <c r="I12" s="97"/>
      <c r="J12" s="30"/>
    </row>
    <row r="13" spans="1:10" ht="40.5" customHeight="1" outlineLevel="1" x14ac:dyDescent="0.25">
      <c r="A13" s="25"/>
      <c r="B13" s="84" t="s">
        <v>272</v>
      </c>
      <c r="C13" s="22" t="s">
        <v>272</v>
      </c>
      <c r="D13" s="19" t="s">
        <v>273</v>
      </c>
      <c r="E13" s="84" t="s">
        <v>272</v>
      </c>
      <c r="F13" s="20" t="s">
        <v>115</v>
      </c>
      <c r="G13" s="20" t="s">
        <v>116</v>
      </c>
      <c r="H13" s="20" t="s">
        <v>117</v>
      </c>
      <c r="I13" s="97"/>
      <c r="J13" s="30"/>
    </row>
    <row r="14" spans="1:10" ht="40.5" customHeight="1" outlineLevel="1" x14ac:dyDescent="0.25">
      <c r="A14" s="25"/>
      <c r="B14" s="53" t="s">
        <v>392</v>
      </c>
      <c r="C14" s="53" t="s">
        <v>392</v>
      </c>
      <c r="D14" s="48" t="s">
        <v>391</v>
      </c>
      <c r="E14" s="53" t="s">
        <v>392</v>
      </c>
      <c r="F14" s="48" t="s">
        <v>109</v>
      </c>
      <c r="G14" s="48" t="s">
        <v>110</v>
      </c>
      <c r="H14" s="48" t="s">
        <v>111</v>
      </c>
      <c r="I14" s="97"/>
      <c r="J14" s="30"/>
    </row>
    <row r="15" spans="1:10" ht="25" customHeight="1" x14ac:dyDescent="0.25">
      <c r="A15" s="21" t="s">
        <v>26</v>
      </c>
      <c r="B15" s="24"/>
      <c r="C15" s="24"/>
      <c r="D15" s="24"/>
      <c r="E15" s="24"/>
      <c r="F15" s="24" t="str">
        <f t="shared" ref="F15:I15" si="2">F$2</f>
        <v>Code System</v>
      </c>
      <c r="G15" s="24" t="str">
        <f t="shared" si="2"/>
        <v>Code System OID</v>
      </c>
      <c r="H15" s="24" t="str">
        <f t="shared" si="2"/>
        <v>HL70396 value</v>
      </c>
      <c r="I15" s="24" t="str">
        <f t="shared" si="2"/>
        <v>Notes</v>
      </c>
    </row>
    <row r="16" spans="1:10" ht="17.5" customHeight="1" outlineLevel="1" x14ac:dyDescent="0.25">
      <c r="A16" s="144" t="s">
        <v>134</v>
      </c>
      <c r="B16" s="145"/>
      <c r="C16" s="145"/>
      <c r="D16" s="145"/>
      <c r="E16" s="145"/>
      <c r="F16" s="145"/>
      <c r="G16" s="145"/>
      <c r="H16" s="145"/>
      <c r="I16" s="146"/>
      <c r="J16" s="30"/>
    </row>
    <row r="17" spans="1:10" ht="25" customHeight="1" x14ac:dyDescent="0.25">
      <c r="A17" s="21" t="s">
        <v>31</v>
      </c>
      <c r="B17" s="24" t="str">
        <f t="shared" ref="B17:I17" si="3">B$2</f>
        <v>Concept Name</v>
      </c>
      <c r="C17" s="24" t="str">
        <f t="shared" si="3"/>
        <v>Display Term in RV</v>
      </c>
      <c r="D17" s="24" t="str">
        <f t="shared" si="3"/>
        <v>Standard Code In Message</v>
      </c>
      <c r="E17" s="24" t="str">
        <f t="shared" si="3"/>
        <v>Standard Name in Message</v>
      </c>
      <c r="F17" s="24" t="str">
        <f t="shared" si="3"/>
        <v>Code System</v>
      </c>
      <c r="G17" s="24" t="str">
        <f t="shared" si="3"/>
        <v>Code System OID</v>
      </c>
      <c r="H17" s="24" t="str">
        <f t="shared" si="3"/>
        <v>HL70396 value</v>
      </c>
      <c r="I17" s="24" t="str">
        <f t="shared" si="3"/>
        <v>Notes</v>
      </c>
    </row>
    <row r="18" spans="1:10" ht="17.5" customHeight="1" outlineLevel="1" x14ac:dyDescent="0.25">
      <c r="A18" s="144" t="s">
        <v>135</v>
      </c>
      <c r="B18" s="145"/>
      <c r="C18" s="145"/>
      <c r="D18" s="145"/>
      <c r="E18" s="145"/>
      <c r="F18" s="145"/>
      <c r="G18" s="145"/>
      <c r="H18" s="145"/>
      <c r="I18" s="146"/>
      <c r="J18" s="30"/>
    </row>
    <row r="19" spans="1:10" s="55" customFormat="1" ht="14.15" customHeight="1" x14ac:dyDescent="0.25">
      <c r="A19" s="81" t="s">
        <v>136</v>
      </c>
      <c r="B19" s="82"/>
      <c r="C19" s="82"/>
      <c r="D19" s="82"/>
      <c r="E19" s="82"/>
      <c r="F19" s="82"/>
      <c r="G19" s="83"/>
      <c r="H19" s="83"/>
      <c r="I19" s="83"/>
    </row>
    <row r="21" spans="1:10" ht="25" customHeight="1" x14ac:dyDescent="0.25">
      <c r="A21" s="21" t="s">
        <v>106</v>
      </c>
      <c r="B21" s="24" t="str">
        <f t="shared" ref="B21:I21" si="4">B$2</f>
        <v>Concept Name</v>
      </c>
      <c r="C21" s="24" t="str">
        <f t="shared" si="4"/>
        <v>Display Term in RV</v>
      </c>
      <c r="D21" s="24" t="str">
        <f t="shared" si="4"/>
        <v>Standard Code In Message</v>
      </c>
      <c r="E21" s="24" t="str">
        <f t="shared" si="4"/>
        <v>Standard Name in Message</v>
      </c>
      <c r="F21" s="24" t="str">
        <f t="shared" si="4"/>
        <v>Code System</v>
      </c>
      <c r="G21" s="24" t="str">
        <f t="shared" si="4"/>
        <v>Code System OID</v>
      </c>
      <c r="H21" s="24" t="str">
        <f t="shared" si="4"/>
        <v>HL70396 value</v>
      </c>
      <c r="I21" s="24" t="str">
        <f t="shared" si="4"/>
        <v>Notes</v>
      </c>
    </row>
    <row r="22" spans="1:10" ht="25" customHeight="1" outlineLevel="1" x14ac:dyDescent="0.25">
      <c r="A22" s="19"/>
      <c r="B22" s="86" t="s">
        <v>264</v>
      </c>
      <c r="C22" s="86" t="s">
        <v>264</v>
      </c>
      <c r="D22" s="19" t="s">
        <v>265</v>
      </c>
      <c r="E22" s="86" t="s">
        <v>264</v>
      </c>
      <c r="F22" s="19" t="s">
        <v>109</v>
      </c>
      <c r="G22" s="19" t="s">
        <v>110</v>
      </c>
      <c r="H22" s="19" t="s">
        <v>111</v>
      </c>
      <c r="I22" s="34"/>
      <c r="J22" s="30"/>
    </row>
    <row r="23" spans="1:10" s="27" customFormat="1" ht="14.15" customHeight="1" x14ac:dyDescent="0.25">
      <c r="A23" s="25"/>
      <c r="B23" s="25"/>
      <c r="C23" s="25"/>
      <c r="D23" s="25"/>
      <c r="E23" s="25"/>
      <c r="F23" s="25"/>
    </row>
    <row r="24" spans="1:10" ht="37" customHeight="1" x14ac:dyDescent="0.25">
      <c r="A24" s="99" t="s">
        <v>112</v>
      </c>
      <c r="B24" s="24" t="str">
        <f t="shared" ref="B24:I24" si="5">B$2</f>
        <v>Concept Name</v>
      </c>
      <c r="C24" s="24" t="str">
        <f t="shared" si="5"/>
        <v>Display Term in RV</v>
      </c>
      <c r="D24" s="24" t="str">
        <f t="shared" si="5"/>
        <v>Standard Code In Message</v>
      </c>
      <c r="E24" s="24" t="str">
        <f t="shared" si="5"/>
        <v>Standard Name in Message</v>
      </c>
      <c r="F24" s="24" t="str">
        <f t="shared" si="5"/>
        <v>Code System</v>
      </c>
      <c r="G24" s="24" t="str">
        <f t="shared" si="5"/>
        <v>Code System OID</v>
      </c>
      <c r="H24" s="24" t="str">
        <f t="shared" si="5"/>
        <v>HL70396 value</v>
      </c>
      <c r="I24" s="24" t="str">
        <f t="shared" si="5"/>
        <v>Notes</v>
      </c>
    </row>
    <row r="25" spans="1:10" ht="40.5" customHeight="1" outlineLevel="1" x14ac:dyDescent="0.25">
      <c r="A25" s="19"/>
      <c r="B25" s="84" t="s">
        <v>274</v>
      </c>
      <c r="C25" s="84" t="s">
        <v>274</v>
      </c>
      <c r="D25" s="19" t="s">
        <v>275</v>
      </c>
      <c r="E25" s="84" t="s">
        <v>274</v>
      </c>
      <c r="F25" s="19" t="s">
        <v>115</v>
      </c>
      <c r="G25" s="19" t="s">
        <v>116</v>
      </c>
      <c r="H25" s="20" t="s">
        <v>117</v>
      </c>
      <c r="I25" s="32"/>
      <c r="J25" s="30"/>
    </row>
    <row r="26" spans="1:10" ht="32.5" customHeight="1" outlineLevel="1" x14ac:dyDescent="0.25">
      <c r="A26" s="25"/>
      <c r="B26" s="84" t="s">
        <v>276</v>
      </c>
      <c r="C26" s="84" t="s">
        <v>276</v>
      </c>
      <c r="D26" s="19" t="s">
        <v>277</v>
      </c>
      <c r="E26" s="84" t="s">
        <v>276</v>
      </c>
      <c r="F26" s="19" t="s">
        <v>115</v>
      </c>
      <c r="G26" s="19" t="s">
        <v>116</v>
      </c>
      <c r="H26" s="20" t="s">
        <v>117</v>
      </c>
      <c r="I26" s="32"/>
      <c r="J26" s="30"/>
    </row>
    <row r="27" spans="1:10" ht="27" customHeight="1" outlineLevel="1" x14ac:dyDescent="0.25">
      <c r="A27" s="25"/>
      <c r="B27" s="84" t="s">
        <v>278</v>
      </c>
      <c r="C27" s="84" t="s">
        <v>278</v>
      </c>
      <c r="D27" s="19" t="s">
        <v>279</v>
      </c>
      <c r="E27" s="84" t="s">
        <v>278</v>
      </c>
      <c r="F27" s="19" t="s">
        <v>115</v>
      </c>
      <c r="G27" s="19" t="s">
        <v>116</v>
      </c>
      <c r="H27" s="20" t="s">
        <v>117</v>
      </c>
      <c r="I27" s="32"/>
      <c r="J27" s="30"/>
    </row>
    <row r="28" spans="1:10" ht="25" customHeight="1" x14ac:dyDescent="0.25">
      <c r="A28" s="21" t="s">
        <v>26</v>
      </c>
      <c r="B28" s="24"/>
      <c r="C28" s="24"/>
      <c r="D28" s="24"/>
      <c r="E28" s="24"/>
      <c r="F28" s="24" t="str">
        <f t="shared" ref="F28:I28" si="6">F$2</f>
        <v>Code System</v>
      </c>
      <c r="G28" s="24" t="str">
        <f t="shared" si="6"/>
        <v>Code System OID</v>
      </c>
      <c r="H28" s="24" t="str">
        <f t="shared" si="6"/>
        <v>HL70396 value</v>
      </c>
      <c r="I28" s="24" t="str">
        <f t="shared" si="6"/>
        <v>Notes</v>
      </c>
    </row>
    <row r="29" spans="1:10" ht="17.5" customHeight="1" outlineLevel="1" x14ac:dyDescent="0.25">
      <c r="A29" s="144" t="s">
        <v>134</v>
      </c>
      <c r="B29" s="145"/>
      <c r="C29" s="145"/>
      <c r="D29" s="145"/>
      <c r="E29" s="145"/>
      <c r="F29" s="145"/>
      <c r="G29" s="145"/>
      <c r="H29" s="145"/>
      <c r="I29" s="146"/>
      <c r="J29" s="30"/>
    </row>
    <row r="30" spans="1:10" ht="25" customHeight="1" x14ac:dyDescent="0.25">
      <c r="A30" s="21" t="s">
        <v>31</v>
      </c>
      <c r="B30" s="24" t="str">
        <f t="shared" ref="B30:I30" si="7">B$2</f>
        <v>Concept Name</v>
      </c>
      <c r="C30" s="24" t="str">
        <f t="shared" si="7"/>
        <v>Display Term in RV</v>
      </c>
      <c r="D30" s="24" t="str">
        <f t="shared" si="7"/>
        <v>Standard Code In Message</v>
      </c>
      <c r="E30" s="24" t="str">
        <f t="shared" si="7"/>
        <v>Standard Name in Message</v>
      </c>
      <c r="F30" s="24" t="str">
        <f t="shared" si="7"/>
        <v>Code System</v>
      </c>
      <c r="G30" s="24" t="str">
        <f t="shared" si="7"/>
        <v>Code System OID</v>
      </c>
      <c r="H30" s="24" t="str">
        <f t="shared" si="7"/>
        <v>HL70396 value</v>
      </c>
      <c r="I30" s="24" t="str">
        <f t="shared" si="7"/>
        <v>Notes</v>
      </c>
    </row>
    <row r="31" spans="1:10" ht="17.5" customHeight="1" outlineLevel="1" x14ac:dyDescent="0.25">
      <c r="A31" s="144" t="s">
        <v>135</v>
      </c>
      <c r="B31" s="145"/>
      <c r="C31" s="145"/>
      <c r="D31" s="145"/>
      <c r="E31" s="145"/>
      <c r="F31" s="145"/>
      <c r="G31" s="145"/>
      <c r="H31" s="145"/>
      <c r="I31" s="146"/>
      <c r="J31" s="30"/>
    </row>
  </sheetData>
  <mergeCells count="5">
    <mergeCell ref="A1:J1"/>
    <mergeCell ref="A16:I16"/>
    <mergeCell ref="A18:I18"/>
    <mergeCell ref="A29:I29"/>
    <mergeCell ref="A31:I31"/>
  </mergeCells>
  <printOptions horizontalCentered="1"/>
  <pageMargins left="0.75" right="0.75" top="1" bottom="1" header="0.5" footer="0.5"/>
  <pageSetup paperSize="17" scale="61" orientation="landscape" r:id="rId1"/>
  <headerFooter alignWithMargins="0">
    <oddHeader>&amp;C&amp;ULRN-C Test Configuration Requirements v1.2.0
&amp;A</oddHeader>
    <oddFooter>&amp;CDo not distribute or share without expressed written permission of CDC-LRN PROGRAM
&amp;F&amp;RPage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D444-F0E5-4A48-B4A9-27245971ABDD}">
  <sheetPr codeName="Sheet18">
    <tabColor rgb="FF0070C0"/>
  </sheetPr>
  <dimension ref="A1:U3"/>
  <sheetViews>
    <sheetView workbookViewId="0">
      <selection activeCell="A3" sqref="A3"/>
    </sheetView>
  </sheetViews>
  <sheetFormatPr defaultColWidth="8.81640625" defaultRowHeight="12.5" x14ac:dyDescent="0.25"/>
  <cols>
    <col min="1" max="1" width="21.453125" customWidth="1"/>
    <col min="2" max="2" width="22.453125" customWidth="1"/>
    <col min="3" max="3" width="37.81640625" customWidth="1"/>
    <col min="4" max="4" width="38.7265625" customWidth="1"/>
    <col min="5" max="5" width="20.1796875" customWidth="1"/>
    <col min="6" max="6" width="28.1796875" customWidth="1"/>
    <col min="7" max="7" width="15.7265625" customWidth="1"/>
    <col min="8" max="8" width="56.81640625" customWidth="1"/>
    <col min="9" max="9" width="0.1796875" customWidth="1"/>
    <col min="10" max="21" width="8.81640625" hidden="1" customWidth="1"/>
  </cols>
  <sheetData>
    <row r="1" spans="1:21" ht="83.2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39" t="s">
        <v>280</v>
      </c>
      <c r="D2" s="39" t="s">
        <v>281</v>
      </c>
      <c r="E2" s="39" t="s">
        <v>282</v>
      </c>
      <c r="F2" s="39" t="s">
        <v>94</v>
      </c>
      <c r="G2" s="39" t="s">
        <v>95</v>
      </c>
      <c r="H2" s="39" t="s">
        <v>96</v>
      </c>
    </row>
    <row r="3" spans="1:21" s="88" customFormat="1" ht="39" customHeight="1" x14ac:dyDescent="0.25">
      <c r="A3" s="120" t="s">
        <v>283</v>
      </c>
      <c r="B3" s="120" t="s">
        <v>283</v>
      </c>
      <c r="C3" s="120" t="s">
        <v>283</v>
      </c>
      <c r="D3" s="120" t="s">
        <v>283</v>
      </c>
      <c r="E3" s="20" t="s">
        <v>109</v>
      </c>
      <c r="F3" s="20" t="s">
        <v>110</v>
      </c>
      <c r="G3" s="20" t="s">
        <v>284</v>
      </c>
      <c r="H3" s="89"/>
    </row>
  </sheetData>
  <mergeCells count="1">
    <mergeCell ref="A1:U1"/>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1628-86A7-49D4-B2A4-120CC049AB79}">
  <sheetPr codeName="Sheet19">
    <tabColor rgb="FF0070C0"/>
  </sheetPr>
  <dimension ref="A1:U8"/>
  <sheetViews>
    <sheetView workbookViewId="0">
      <selection activeCell="A9" sqref="A9"/>
    </sheetView>
  </sheetViews>
  <sheetFormatPr defaultColWidth="8.81640625" defaultRowHeight="12.5" x14ac:dyDescent="0.25"/>
  <cols>
    <col min="1" max="1" width="37.26953125" customWidth="1"/>
    <col min="2" max="2" width="36.26953125" customWidth="1"/>
    <col min="3" max="3" width="36.54296875" customWidth="1"/>
    <col min="4" max="4" width="38.81640625" customWidth="1"/>
    <col min="5" max="5" width="17.26953125" customWidth="1"/>
    <col min="6" max="6" width="27" customWidth="1"/>
    <col min="7" max="7" width="15.7265625" customWidth="1"/>
    <col min="8" max="8" width="75.26953125" customWidth="1"/>
    <col min="9" max="21" width="8.81640625" hidden="1" customWidth="1"/>
  </cols>
  <sheetData>
    <row r="1" spans="1:21" ht="62.2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39" t="s">
        <v>280</v>
      </c>
      <c r="D2" s="39" t="s">
        <v>281</v>
      </c>
      <c r="E2" s="39" t="s">
        <v>282</v>
      </c>
      <c r="F2" s="39" t="s">
        <v>94</v>
      </c>
      <c r="G2" s="39" t="s">
        <v>95</v>
      </c>
      <c r="H2" s="39" t="s">
        <v>96</v>
      </c>
    </row>
    <row r="3" spans="1:21" s="26" customFormat="1" ht="25" customHeight="1" x14ac:dyDescent="0.25">
      <c r="A3" s="22" t="s">
        <v>107</v>
      </c>
      <c r="B3" s="19" t="s">
        <v>107</v>
      </c>
      <c r="C3" s="19" t="s">
        <v>108</v>
      </c>
      <c r="D3" s="19" t="s">
        <v>107</v>
      </c>
      <c r="E3" s="19" t="s">
        <v>109</v>
      </c>
      <c r="F3" s="19" t="s">
        <v>110</v>
      </c>
      <c r="G3" s="40" t="s">
        <v>111</v>
      </c>
      <c r="H3" s="43"/>
    </row>
    <row r="4" spans="1:21" s="26" customFormat="1" ht="25" customHeight="1" x14ac:dyDescent="0.25">
      <c r="A4" s="22" t="s">
        <v>146</v>
      </c>
      <c r="B4" s="19" t="s">
        <v>146</v>
      </c>
      <c r="C4" s="19" t="s">
        <v>147</v>
      </c>
      <c r="D4" s="19" t="s">
        <v>146</v>
      </c>
      <c r="E4" s="19" t="s">
        <v>109</v>
      </c>
      <c r="F4" s="19" t="s">
        <v>110</v>
      </c>
      <c r="G4" s="121" t="s">
        <v>111</v>
      </c>
      <c r="H4" s="44"/>
    </row>
    <row r="5" spans="1:21" s="26" customFormat="1" ht="25" customHeight="1" x14ac:dyDescent="0.25">
      <c r="A5" s="22" t="s">
        <v>170</v>
      </c>
      <c r="B5" s="19" t="s">
        <v>170</v>
      </c>
      <c r="C5" s="19" t="s">
        <v>171</v>
      </c>
      <c r="D5" s="22" t="s">
        <v>170</v>
      </c>
      <c r="E5" s="19" t="s">
        <v>109</v>
      </c>
      <c r="F5" s="19" t="s">
        <v>110</v>
      </c>
      <c r="G5" s="40" t="s">
        <v>111</v>
      </c>
      <c r="H5" s="43"/>
    </row>
    <row r="6" spans="1:21" s="26" customFormat="1" ht="25" customHeight="1" x14ac:dyDescent="0.25">
      <c r="A6" s="86" t="s">
        <v>186</v>
      </c>
      <c r="B6" s="86" t="s">
        <v>186</v>
      </c>
      <c r="C6" s="19" t="s">
        <v>187</v>
      </c>
      <c r="D6" s="86" t="s">
        <v>186</v>
      </c>
      <c r="E6" s="19" t="s">
        <v>109</v>
      </c>
      <c r="F6" s="19" t="s">
        <v>110</v>
      </c>
      <c r="G6" s="40" t="s">
        <v>111</v>
      </c>
      <c r="H6" s="43"/>
    </row>
    <row r="7" spans="1:21" s="26" customFormat="1" ht="25" customHeight="1" x14ac:dyDescent="0.25">
      <c r="A7" s="22" t="s">
        <v>258</v>
      </c>
      <c r="B7" s="19" t="s">
        <v>258</v>
      </c>
      <c r="C7" s="19" t="s">
        <v>259</v>
      </c>
      <c r="D7" s="22" t="s">
        <v>258</v>
      </c>
      <c r="E7" s="19" t="s">
        <v>109</v>
      </c>
      <c r="F7" s="19" t="s">
        <v>110</v>
      </c>
      <c r="G7" s="19" t="s">
        <v>111</v>
      </c>
      <c r="H7" s="42"/>
    </row>
    <row r="8" spans="1:21" s="26" customFormat="1" ht="25" customHeight="1" x14ac:dyDescent="0.25">
      <c r="A8" s="86" t="s">
        <v>264</v>
      </c>
      <c r="B8" s="86" t="s">
        <v>264</v>
      </c>
      <c r="C8" s="19" t="s">
        <v>265</v>
      </c>
      <c r="D8" s="86" t="s">
        <v>264</v>
      </c>
      <c r="E8" s="19" t="s">
        <v>109</v>
      </c>
      <c r="F8" s="40" t="s">
        <v>110</v>
      </c>
      <c r="G8" s="40" t="s">
        <v>111</v>
      </c>
      <c r="H8" s="43"/>
    </row>
  </sheetData>
  <mergeCells count="1">
    <mergeCell ref="A1:U1"/>
  </mergeCells>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4E9A-4533-4362-B1BB-CD3B11329E95}">
  <sheetPr codeName="Sheet20">
    <tabColor rgb="FF0070C0"/>
  </sheetPr>
  <dimension ref="A1:U102"/>
  <sheetViews>
    <sheetView zoomScale="85" zoomScaleNormal="85" workbookViewId="0">
      <selection activeCell="A3" sqref="A3"/>
    </sheetView>
  </sheetViews>
  <sheetFormatPr defaultColWidth="8.81640625" defaultRowHeight="12.5" x14ac:dyDescent="0.25"/>
  <cols>
    <col min="1" max="1" width="51.81640625" customWidth="1"/>
    <col min="2" max="2" width="53.1796875" customWidth="1"/>
    <col min="3" max="3" width="37.7265625" customWidth="1"/>
    <col min="4" max="4" width="52.1796875" customWidth="1"/>
    <col min="5" max="5" width="15.26953125" customWidth="1"/>
    <col min="6" max="6" width="28.54296875" customWidth="1"/>
    <col min="7" max="7" width="15.7265625" customWidth="1"/>
    <col min="8" max="8" width="77.453125" customWidth="1"/>
    <col min="9" max="9" width="0.1796875" customWidth="1"/>
    <col min="10" max="21" width="8.81640625" hidden="1" customWidth="1"/>
  </cols>
  <sheetData>
    <row r="1" spans="1:21" ht="61.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39" t="s">
        <v>280</v>
      </c>
      <c r="D2" s="39" t="s">
        <v>281</v>
      </c>
      <c r="E2" s="39" t="s">
        <v>282</v>
      </c>
      <c r="F2" s="39" t="s">
        <v>94</v>
      </c>
      <c r="G2" s="39" t="s">
        <v>95</v>
      </c>
      <c r="H2" s="39" t="s">
        <v>96</v>
      </c>
    </row>
    <row r="3" spans="1:21" s="26" customFormat="1" ht="25" customHeight="1" x14ac:dyDescent="0.25">
      <c r="A3" s="87" t="s">
        <v>113</v>
      </c>
      <c r="B3" s="87" t="s">
        <v>113</v>
      </c>
      <c r="C3" s="19" t="s">
        <v>114</v>
      </c>
      <c r="D3" s="87" t="s">
        <v>113</v>
      </c>
      <c r="E3" s="20" t="s">
        <v>115</v>
      </c>
      <c r="F3" s="20" t="s">
        <v>116</v>
      </c>
      <c r="G3" s="20" t="s">
        <v>117</v>
      </c>
      <c r="H3" s="94"/>
    </row>
    <row r="4" spans="1:21" s="26" customFormat="1" ht="33.65" customHeight="1" x14ac:dyDescent="0.25">
      <c r="A4" s="84" t="s">
        <v>118</v>
      </c>
      <c r="B4" s="84" t="s">
        <v>118</v>
      </c>
      <c r="C4" s="19" t="s">
        <v>119</v>
      </c>
      <c r="D4" s="84" t="s">
        <v>118</v>
      </c>
      <c r="E4" s="19" t="s">
        <v>109</v>
      </c>
      <c r="F4" s="19" t="s">
        <v>110</v>
      </c>
      <c r="G4" s="19" t="s">
        <v>111</v>
      </c>
      <c r="H4" s="94"/>
    </row>
    <row r="5" spans="1:21" s="26" customFormat="1" ht="25" customHeight="1" x14ac:dyDescent="0.25">
      <c r="A5" s="22" t="s">
        <v>120</v>
      </c>
      <c r="B5" s="22" t="s">
        <v>120</v>
      </c>
      <c r="C5" s="19" t="s">
        <v>121</v>
      </c>
      <c r="D5" s="22" t="s">
        <v>120</v>
      </c>
      <c r="E5" s="20" t="s">
        <v>115</v>
      </c>
      <c r="F5" s="20" t="s">
        <v>116</v>
      </c>
      <c r="G5" s="20" t="s">
        <v>117</v>
      </c>
      <c r="H5" s="95"/>
    </row>
    <row r="6" spans="1:21" s="26" customFormat="1" ht="25" customHeight="1" x14ac:dyDescent="0.25">
      <c r="A6" s="84" t="s">
        <v>122</v>
      </c>
      <c r="B6" s="84" t="s">
        <v>122</v>
      </c>
      <c r="C6" s="19" t="s">
        <v>123</v>
      </c>
      <c r="D6" s="84" t="s">
        <v>122</v>
      </c>
      <c r="E6" s="20" t="s">
        <v>115</v>
      </c>
      <c r="F6" s="20" t="s">
        <v>116</v>
      </c>
      <c r="G6" s="20" t="s">
        <v>117</v>
      </c>
      <c r="H6" s="95"/>
    </row>
    <row r="7" spans="1:21" s="26" customFormat="1" ht="25" customHeight="1" x14ac:dyDescent="0.25">
      <c r="A7" s="84" t="s">
        <v>124</v>
      </c>
      <c r="B7" s="84" t="s">
        <v>124</v>
      </c>
      <c r="C7" s="19" t="s">
        <v>125</v>
      </c>
      <c r="D7" s="84" t="s">
        <v>124</v>
      </c>
      <c r="E7" s="20" t="s">
        <v>115</v>
      </c>
      <c r="F7" s="20" t="s">
        <v>116</v>
      </c>
      <c r="G7" s="20" t="s">
        <v>117</v>
      </c>
      <c r="H7" s="95"/>
    </row>
    <row r="8" spans="1:21" s="26" customFormat="1" ht="25" customHeight="1" x14ac:dyDescent="0.25">
      <c r="A8" s="84" t="s">
        <v>126</v>
      </c>
      <c r="B8" s="84" t="s">
        <v>126</v>
      </c>
      <c r="C8" s="19" t="s">
        <v>127</v>
      </c>
      <c r="D8" s="84" t="s">
        <v>126</v>
      </c>
      <c r="E8" s="20" t="s">
        <v>115</v>
      </c>
      <c r="F8" s="20" t="s">
        <v>116</v>
      </c>
      <c r="G8" s="20" t="s">
        <v>117</v>
      </c>
      <c r="H8" s="94"/>
    </row>
    <row r="9" spans="1:21" s="26" customFormat="1" ht="25" customHeight="1" x14ac:dyDescent="0.25">
      <c r="A9" s="84" t="s">
        <v>128</v>
      </c>
      <c r="B9" s="84" t="s">
        <v>128</v>
      </c>
      <c r="C9" s="19" t="s">
        <v>129</v>
      </c>
      <c r="D9" s="84" t="s">
        <v>128</v>
      </c>
      <c r="E9" s="20" t="s">
        <v>115</v>
      </c>
      <c r="F9" s="20" t="s">
        <v>116</v>
      </c>
      <c r="G9" s="20" t="s">
        <v>117</v>
      </c>
      <c r="H9" s="94"/>
    </row>
    <row r="10" spans="1:21" s="26" customFormat="1" ht="25" customHeight="1" x14ac:dyDescent="0.25">
      <c r="A10" s="84" t="s">
        <v>130</v>
      </c>
      <c r="B10" s="84" t="s">
        <v>130</v>
      </c>
      <c r="C10" s="19" t="s">
        <v>131</v>
      </c>
      <c r="D10" s="84" t="s">
        <v>130</v>
      </c>
      <c r="E10" s="20" t="s">
        <v>115</v>
      </c>
      <c r="F10" s="20" t="s">
        <v>116</v>
      </c>
      <c r="G10" s="20" t="s">
        <v>117</v>
      </c>
      <c r="H10" s="94"/>
    </row>
    <row r="11" spans="1:21" s="26" customFormat="1" ht="25" customHeight="1" x14ac:dyDescent="0.25">
      <c r="A11" s="84" t="s">
        <v>132</v>
      </c>
      <c r="B11" s="84" t="s">
        <v>132</v>
      </c>
      <c r="C11" s="19" t="s">
        <v>133</v>
      </c>
      <c r="D11" s="84" t="s">
        <v>132</v>
      </c>
      <c r="E11" s="20" t="s">
        <v>115</v>
      </c>
      <c r="F11" s="20" t="s">
        <v>116</v>
      </c>
      <c r="G11" s="20" t="s">
        <v>117</v>
      </c>
      <c r="H11" s="94"/>
    </row>
    <row r="12" spans="1:21" s="26" customFormat="1" ht="25" customHeight="1" x14ac:dyDescent="0.3">
      <c r="A12" s="84" t="s">
        <v>137</v>
      </c>
      <c r="B12" s="84" t="s">
        <v>137</v>
      </c>
      <c r="C12" s="19" t="s">
        <v>138</v>
      </c>
      <c r="D12" s="84" t="s">
        <v>137</v>
      </c>
      <c r="E12" s="19" t="s">
        <v>109</v>
      </c>
      <c r="F12" s="19" t="s">
        <v>110</v>
      </c>
      <c r="G12" s="19" t="s">
        <v>111</v>
      </c>
      <c r="H12" s="96"/>
    </row>
    <row r="13" spans="1:21" s="26" customFormat="1" ht="42.65" customHeight="1" x14ac:dyDescent="0.25">
      <c r="A13" s="84" t="s">
        <v>139</v>
      </c>
      <c r="B13" s="84" t="s">
        <v>139</v>
      </c>
      <c r="C13" s="19" t="s">
        <v>140</v>
      </c>
      <c r="D13" s="84" t="s">
        <v>139</v>
      </c>
      <c r="E13" s="19" t="s">
        <v>109</v>
      </c>
      <c r="F13" s="19" t="s">
        <v>110</v>
      </c>
      <c r="G13" s="19" t="s">
        <v>111</v>
      </c>
      <c r="H13" s="31"/>
    </row>
    <row r="14" spans="1:21" s="26" customFormat="1" ht="25" customHeight="1" x14ac:dyDescent="0.3">
      <c r="A14" s="84" t="s">
        <v>141</v>
      </c>
      <c r="B14" s="84" t="s">
        <v>141</v>
      </c>
      <c r="C14" s="19" t="s">
        <v>142</v>
      </c>
      <c r="D14" s="84" t="s">
        <v>141</v>
      </c>
      <c r="E14" s="19" t="s">
        <v>109</v>
      </c>
      <c r="F14" s="19" t="s">
        <v>110</v>
      </c>
      <c r="G14" s="19" t="s">
        <v>111</v>
      </c>
      <c r="H14" s="96"/>
    </row>
    <row r="15" spans="1:21" s="26" customFormat="1" ht="25" customHeight="1" x14ac:dyDescent="0.3">
      <c r="A15" s="84" t="s">
        <v>143</v>
      </c>
      <c r="B15" s="84" t="s">
        <v>143</v>
      </c>
      <c r="C15" s="19" t="s">
        <v>144</v>
      </c>
      <c r="D15" s="84" t="s">
        <v>143</v>
      </c>
      <c r="E15" s="19" t="s">
        <v>109</v>
      </c>
      <c r="F15" s="19" t="s">
        <v>110</v>
      </c>
      <c r="G15" s="19" t="s">
        <v>111</v>
      </c>
      <c r="H15" s="96"/>
    </row>
    <row r="16" spans="1:21" s="26" customFormat="1" ht="22" customHeight="1" x14ac:dyDescent="0.25">
      <c r="A16" s="22" t="s">
        <v>148</v>
      </c>
      <c r="B16" s="22" t="s">
        <v>148</v>
      </c>
      <c r="C16" s="19" t="s">
        <v>149</v>
      </c>
      <c r="D16" s="22" t="s">
        <v>148</v>
      </c>
      <c r="E16" s="19" t="s">
        <v>109</v>
      </c>
      <c r="F16" s="19" t="s">
        <v>110</v>
      </c>
      <c r="G16" s="19" t="s">
        <v>111</v>
      </c>
      <c r="H16" s="31"/>
    </row>
    <row r="17" spans="1:8" s="108" customFormat="1" ht="35.5" customHeight="1" x14ac:dyDescent="0.25">
      <c r="A17" s="22" t="s">
        <v>150</v>
      </c>
      <c r="B17" s="22" t="s">
        <v>150</v>
      </c>
      <c r="C17" s="19" t="s">
        <v>151</v>
      </c>
      <c r="D17" s="106" t="s">
        <v>150</v>
      </c>
      <c r="E17" s="20" t="s">
        <v>115</v>
      </c>
      <c r="F17" s="20" t="s">
        <v>116</v>
      </c>
      <c r="G17" s="20" t="s">
        <v>117</v>
      </c>
      <c r="H17" s="31"/>
    </row>
    <row r="18" spans="1:8" s="108" customFormat="1" ht="33.65" customHeight="1" x14ac:dyDescent="0.25">
      <c r="A18" s="22" t="s">
        <v>152</v>
      </c>
      <c r="B18" s="22" t="s">
        <v>152</v>
      </c>
      <c r="C18" s="19" t="s">
        <v>153</v>
      </c>
      <c r="D18" s="22" t="s">
        <v>152</v>
      </c>
      <c r="E18" s="20" t="s">
        <v>115</v>
      </c>
      <c r="F18" s="20" t="s">
        <v>116</v>
      </c>
      <c r="G18" s="20" t="s">
        <v>117</v>
      </c>
      <c r="H18" s="31"/>
    </row>
    <row r="19" spans="1:8" s="108" customFormat="1" ht="29.5" customHeight="1" x14ac:dyDescent="0.25">
      <c r="A19" s="22" t="s">
        <v>154</v>
      </c>
      <c r="B19" s="22" t="s">
        <v>154</v>
      </c>
      <c r="C19" s="19" t="s">
        <v>155</v>
      </c>
      <c r="D19" s="22" t="s">
        <v>154</v>
      </c>
      <c r="E19" s="19" t="s">
        <v>109</v>
      </c>
      <c r="F19" s="19" t="s">
        <v>110</v>
      </c>
      <c r="G19" s="19" t="s">
        <v>111</v>
      </c>
      <c r="H19" s="32"/>
    </row>
    <row r="20" spans="1:8" s="108" customFormat="1" ht="31" customHeight="1" x14ac:dyDescent="0.25">
      <c r="A20" s="22" t="s">
        <v>156</v>
      </c>
      <c r="B20" s="22" t="s">
        <v>156</v>
      </c>
      <c r="C20" s="19" t="s">
        <v>157</v>
      </c>
      <c r="D20" s="22" t="s">
        <v>156</v>
      </c>
      <c r="E20" s="19" t="s">
        <v>109</v>
      </c>
      <c r="F20" s="19" t="s">
        <v>110</v>
      </c>
      <c r="G20" s="19" t="s">
        <v>111</v>
      </c>
      <c r="H20" s="31"/>
    </row>
    <row r="21" spans="1:8" s="108" customFormat="1" ht="35.15" customHeight="1" x14ac:dyDescent="0.25">
      <c r="A21" s="22" t="s">
        <v>158</v>
      </c>
      <c r="B21" s="22" t="s">
        <v>158</v>
      </c>
      <c r="C21" s="19" t="s">
        <v>159</v>
      </c>
      <c r="D21" s="22" t="s">
        <v>158</v>
      </c>
      <c r="E21" s="19" t="s">
        <v>109</v>
      </c>
      <c r="F21" s="19" t="s">
        <v>110</v>
      </c>
      <c r="G21" s="19" t="s">
        <v>111</v>
      </c>
      <c r="H21" s="31"/>
    </row>
    <row r="22" spans="1:8" s="108" customFormat="1" ht="34.5" customHeight="1" x14ac:dyDescent="0.25">
      <c r="A22" s="22" t="s">
        <v>160</v>
      </c>
      <c r="B22" s="22" t="s">
        <v>160</v>
      </c>
      <c r="C22" s="19" t="s">
        <v>161</v>
      </c>
      <c r="D22" s="22" t="s">
        <v>160</v>
      </c>
      <c r="E22" s="19" t="s">
        <v>109</v>
      </c>
      <c r="F22" s="19" t="s">
        <v>110</v>
      </c>
      <c r="G22" s="19" t="s">
        <v>111</v>
      </c>
      <c r="H22" s="32"/>
    </row>
    <row r="23" spans="1:8" s="108" customFormat="1" ht="40.5" customHeight="1" x14ac:dyDescent="0.25">
      <c r="A23" s="22" t="s">
        <v>162</v>
      </c>
      <c r="B23" s="22" t="s">
        <v>162</v>
      </c>
      <c r="C23" s="19" t="s">
        <v>163</v>
      </c>
      <c r="D23" s="106" t="s">
        <v>162</v>
      </c>
      <c r="E23" s="19" t="s">
        <v>109</v>
      </c>
      <c r="F23" s="19" t="s">
        <v>110</v>
      </c>
      <c r="G23" s="19" t="s">
        <v>111</v>
      </c>
      <c r="H23" s="32"/>
    </row>
    <row r="24" spans="1:8" s="108" customFormat="1" ht="34.5" customHeight="1" x14ac:dyDescent="0.25">
      <c r="A24" s="22" t="s">
        <v>164</v>
      </c>
      <c r="B24" s="22" t="s">
        <v>164</v>
      </c>
      <c r="C24" s="19" t="s">
        <v>165</v>
      </c>
      <c r="D24" s="22" t="s">
        <v>164</v>
      </c>
      <c r="E24" s="19" t="s">
        <v>109</v>
      </c>
      <c r="F24" s="19" t="s">
        <v>110</v>
      </c>
      <c r="G24" s="19" t="s">
        <v>111</v>
      </c>
      <c r="H24" s="32"/>
    </row>
    <row r="25" spans="1:8" s="108" customFormat="1" ht="42.65" customHeight="1" x14ac:dyDescent="0.25">
      <c r="A25" s="22" t="s">
        <v>166</v>
      </c>
      <c r="B25" s="22" t="s">
        <v>166</v>
      </c>
      <c r="C25" s="19" t="s">
        <v>167</v>
      </c>
      <c r="D25" s="22" t="s">
        <v>166</v>
      </c>
      <c r="E25" s="19" t="s">
        <v>109</v>
      </c>
      <c r="F25" s="19" t="s">
        <v>110</v>
      </c>
      <c r="G25" s="19" t="s">
        <v>111</v>
      </c>
      <c r="H25" s="90"/>
    </row>
    <row r="26" spans="1:8" s="108" customFormat="1" ht="37" customHeight="1" x14ac:dyDescent="0.25">
      <c r="A26" s="22" t="s">
        <v>168</v>
      </c>
      <c r="B26" s="22" t="s">
        <v>168</v>
      </c>
      <c r="C26" s="19" t="s">
        <v>169</v>
      </c>
      <c r="D26" s="22" t="s">
        <v>168</v>
      </c>
      <c r="E26" s="19" t="s">
        <v>109</v>
      </c>
      <c r="F26" s="19" t="s">
        <v>110</v>
      </c>
      <c r="G26" s="19" t="s">
        <v>111</v>
      </c>
      <c r="H26" s="90"/>
    </row>
    <row r="27" spans="1:8" s="108" customFormat="1" ht="35.15" customHeight="1" x14ac:dyDescent="0.25">
      <c r="A27" s="84" t="s">
        <v>172</v>
      </c>
      <c r="B27" s="84" t="s">
        <v>172</v>
      </c>
      <c r="C27" s="19" t="s">
        <v>173</v>
      </c>
      <c r="D27" s="84" t="s">
        <v>172</v>
      </c>
      <c r="E27" s="19" t="s">
        <v>109</v>
      </c>
      <c r="F27" s="19" t="s">
        <v>110</v>
      </c>
      <c r="G27" s="19" t="s">
        <v>111</v>
      </c>
      <c r="H27" s="90"/>
    </row>
    <row r="28" spans="1:8" s="108" customFormat="1" ht="39" customHeight="1" x14ac:dyDescent="0.25">
      <c r="A28" s="84" t="s">
        <v>174</v>
      </c>
      <c r="B28" s="84" t="s">
        <v>174</v>
      </c>
      <c r="C28" s="19" t="s">
        <v>175</v>
      </c>
      <c r="D28" s="84" t="s">
        <v>174</v>
      </c>
      <c r="E28" s="19" t="s">
        <v>109</v>
      </c>
      <c r="F28" s="19" t="s">
        <v>110</v>
      </c>
      <c r="G28" s="19" t="s">
        <v>111</v>
      </c>
      <c r="H28" s="90"/>
    </row>
    <row r="29" spans="1:8" s="108" customFormat="1" ht="47.15" customHeight="1" x14ac:dyDescent="0.25">
      <c r="A29" s="84" t="s">
        <v>176</v>
      </c>
      <c r="B29" s="84" t="s">
        <v>176</v>
      </c>
      <c r="C29" s="19" t="s">
        <v>177</v>
      </c>
      <c r="D29" s="84" t="s">
        <v>176</v>
      </c>
      <c r="E29" s="19" t="s">
        <v>109</v>
      </c>
      <c r="F29" s="19" t="s">
        <v>110</v>
      </c>
      <c r="G29" s="19" t="s">
        <v>111</v>
      </c>
      <c r="H29" s="90"/>
    </row>
    <row r="30" spans="1:8" s="108" customFormat="1" ht="31.5" customHeight="1" x14ac:dyDescent="0.25">
      <c r="A30" s="84" t="s">
        <v>178</v>
      </c>
      <c r="B30" s="84" t="s">
        <v>178</v>
      </c>
      <c r="C30" s="19" t="s">
        <v>179</v>
      </c>
      <c r="D30" s="84" t="s">
        <v>178</v>
      </c>
      <c r="E30" s="19" t="s">
        <v>109</v>
      </c>
      <c r="F30" s="19" t="s">
        <v>110</v>
      </c>
      <c r="G30" s="19" t="s">
        <v>111</v>
      </c>
      <c r="H30" s="90"/>
    </row>
    <row r="31" spans="1:8" s="108" customFormat="1" ht="35.5" customHeight="1" x14ac:dyDescent="0.25">
      <c r="A31" s="84" t="s">
        <v>180</v>
      </c>
      <c r="B31" s="84" t="s">
        <v>180</v>
      </c>
      <c r="C31" s="19" t="s">
        <v>181</v>
      </c>
      <c r="D31" s="84" t="s">
        <v>180</v>
      </c>
      <c r="E31" s="19" t="s">
        <v>109</v>
      </c>
      <c r="F31" s="19" t="s">
        <v>110</v>
      </c>
      <c r="G31" s="19" t="s">
        <v>111</v>
      </c>
      <c r="H31" s="90"/>
    </row>
    <row r="32" spans="1:8" s="108" customFormat="1" ht="40" customHeight="1" x14ac:dyDescent="0.25">
      <c r="A32" s="84" t="s">
        <v>182</v>
      </c>
      <c r="B32" s="84" t="s">
        <v>182</v>
      </c>
      <c r="C32" s="19" t="s">
        <v>183</v>
      </c>
      <c r="D32" s="84" t="s">
        <v>182</v>
      </c>
      <c r="E32" s="19" t="s">
        <v>109</v>
      </c>
      <c r="F32" s="19" t="s">
        <v>110</v>
      </c>
      <c r="G32" s="19" t="s">
        <v>111</v>
      </c>
      <c r="H32" s="105"/>
    </row>
    <row r="33" spans="1:8" s="108" customFormat="1" ht="23.15" customHeight="1" x14ac:dyDescent="0.25">
      <c r="A33" s="84" t="s">
        <v>184</v>
      </c>
      <c r="B33" s="84" t="s">
        <v>184</v>
      </c>
      <c r="C33" s="19" t="s">
        <v>185</v>
      </c>
      <c r="D33" s="84" t="s">
        <v>184</v>
      </c>
      <c r="E33" s="19" t="s">
        <v>109</v>
      </c>
      <c r="F33" s="19" t="s">
        <v>110</v>
      </c>
      <c r="G33" s="19" t="s">
        <v>111</v>
      </c>
      <c r="H33" s="98"/>
    </row>
    <row r="34" spans="1:8" s="108" customFormat="1" ht="39.5" customHeight="1" x14ac:dyDescent="0.25">
      <c r="A34" s="53" t="s">
        <v>385</v>
      </c>
      <c r="B34" s="53" t="s">
        <v>385</v>
      </c>
      <c r="C34" s="48" t="s">
        <v>383</v>
      </c>
      <c r="D34" s="53" t="s">
        <v>385</v>
      </c>
      <c r="E34" s="48" t="s">
        <v>109</v>
      </c>
      <c r="F34" s="48" t="s">
        <v>110</v>
      </c>
      <c r="G34" s="48" t="s">
        <v>111</v>
      </c>
      <c r="H34" s="90"/>
    </row>
    <row r="35" spans="1:8" s="108" customFormat="1" ht="55.5" customHeight="1" x14ac:dyDescent="0.25">
      <c r="A35" s="53" t="s">
        <v>384</v>
      </c>
      <c r="B35" s="53" t="s">
        <v>384</v>
      </c>
      <c r="C35" s="48" t="s">
        <v>386</v>
      </c>
      <c r="D35" s="53" t="s">
        <v>384</v>
      </c>
      <c r="E35" s="48" t="s">
        <v>109</v>
      </c>
      <c r="F35" s="48" t="s">
        <v>110</v>
      </c>
      <c r="G35" s="48" t="s">
        <v>111</v>
      </c>
      <c r="H35" s="90"/>
    </row>
    <row r="36" spans="1:8" s="108" customFormat="1" ht="32.15" customHeight="1" x14ac:dyDescent="0.25">
      <c r="A36" s="22" t="s">
        <v>188</v>
      </c>
      <c r="B36" s="22" t="s">
        <v>188</v>
      </c>
      <c r="C36" s="19" t="s">
        <v>189</v>
      </c>
      <c r="D36" s="22" t="s">
        <v>188</v>
      </c>
      <c r="E36" s="20" t="s">
        <v>115</v>
      </c>
      <c r="F36" s="20" t="s">
        <v>116</v>
      </c>
      <c r="G36" s="20" t="s">
        <v>117</v>
      </c>
      <c r="H36" s="90"/>
    </row>
    <row r="37" spans="1:8" s="108" customFormat="1" ht="48" customHeight="1" x14ac:dyDescent="0.25">
      <c r="A37" s="101" t="s">
        <v>190</v>
      </c>
      <c r="B37" s="101" t="s">
        <v>190</v>
      </c>
      <c r="C37" s="19" t="s">
        <v>191</v>
      </c>
      <c r="D37" s="101" t="s">
        <v>190</v>
      </c>
      <c r="E37" s="19" t="s">
        <v>115</v>
      </c>
      <c r="F37" s="19" t="s">
        <v>116</v>
      </c>
      <c r="G37" s="19" t="s">
        <v>117</v>
      </c>
      <c r="H37" s="90"/>
    </row>
    <row r="38" spans="1:8" s="108" customFormat="1" ht="34" customHeight="1" x14ac:dyDescent="0.3">
      <c r="A38" s="22" t="s">
        <v>192</v>
      </c>
      <c r="B38" s="22" t="s">
        <v>192</v>
      </c>
      <c r="C38" s="102" t="s">
        <v>193</v>
      </c>
      <c r="D38" s="22" t="s">
        <v>192</v>
      </c>
      <c r="E38" s="20" t="s">
        <v>115</v>
      </c>
      <c r="F38" s="20" t="s">
        <v>116</v>
      </c>
      <c r="G38" s="20" t="s">
        <v>117</v>
      </c>
      <c r="H38" s="90"/>
    </row>
    <row r="39" spans="1:8" s="59" customFormat="1" ht="34" customHeight="1" x14ac:dyDescent="0.25">
      <c r="A39" s="22" t="s">
        <v>194</v>
      </c>
      <c r="B39" s="22" t="s">
        <v>194</v>
      </c>
      <c r="C39" s="19" t="s">
        <v>195</v>
      </c>
      <c r="D39" s="22" t="s">
        <v>194</v>
      </c>
      <c r="E39" s="19" t="s">
        <v>109</v>
      </c>
      <c r="F39" s="19" t="s">
        <v>110</v>
      </c>
      <c r="G39" s="19" t="s">
        <v>111</v>
      </c>
      <c r="H39" s="90"/>
    </row>
    <row r="40" spans="1:8" s="59" customFormat="1" ht="34" customHeight="1" x14ac:dyDescent="0.3">
      <c r="A40" s="22" t="s">
        <v>196</v>
      </c>
      <c r="B40" s="22" t="s">
        <v>196</v>
      </c>
      <c r="C40" s="102" t="s">
        <v>197</v>
      </c>
      <c r="D40" s="22" t="s">
        <v>196</v>
      </c>
      <c r="E40" s="20" t="s">
        <v>115</v>
      </c>
      <c r="F40" s="20" t="s">
        <v>116</v>
      </c>
      <c r="G40" s="20" t="s">
        <v>117</v>
      </c>
      <c r="H40" s="90"/>
    </row>
    <row r="41" spans="1:8" s="59" customFormat="1" ht="34" customHeight="1" x14ac:dyDescent="0.25">
      <c r="A41" s="22" t="s">
        <v>198</v>
      </c>
      <c r="B41" s="22" t="s">
        <v>198</v>
      </c>
      <c r="C41" s="19" t="s">
        <v>199</v>
      </c>
      <c r="D41" s="22" t="s">
        <v>198</v>
      </c>
      <c r="E41" s="19" t="s">
        <v>109</v>
      </c>
      <c r="F41" s="19" t="s">
        <v>110</v>
      </c>
      <c r="G41" s="19" t="s">
        <v>111</v>
      </c>
      <c r="H41" s="90"/>
    </row>
    <row r="42" spans="1:8" s="59" customFormat="1" ht="34" customHeight="1" x14ac:dyDescent="0.3">
      <c r="A42" s="103" t="s">
        <v>200</v>
      </c>
      <c r="B42" s="103" t="s">
        <v>200</v>
      </c>
      <c r="C42" s="102" t="s">
        <v>201</v>
      </c>
      <c r="D42" s="103" t="s">
        <v>200</v>
      </c>
      <c r="E42" s="20" t="s">
        <v>115</v>
      </c>
      <c r="F42" s="20" t="s">
        <v>116</v>
      </c>
      <c r="G42" s="20" t="s">
        <v>117</v>
      </c>
      <c r="H42" s="90"/>
    </row>
    <row r="43" spans="1:8" s="59" customFormat="1" ht="34" customHeight="1" x14ac:dyDescent="0.3">
      <c r="A43" s="104" t="s">
        <v>202</v>
      </c>
      <c r="B43" s="109" t="s">
        <v>202</v>
      </c>
      <c r="C43" s="102" t="s">
        <v>203</v>
      </c>
      <c r="D43" s="109" t="s">
        <v>202</v>
      </c>
      <c r="E43" s="20" t="s">
        <v>115</v>
      </c>
      <c r="F43" s="20" t="s">
        <v>116</v>
      </c>
      <c r="G43" s="20" t="s">
        <v>117</v>
      </c>
      <c r="H43" s="90"/>
    </row>
    <row r="44" spans="1:8" s="59" customFormat="1" ht="34" customHeight="1" x14ac:dyDescent="0.25">
      <c r="A44" s="22" t="s">
        <v>204</v>
      </c>
      <c r="B44" s="22" t="s">
        <v>204</v>
      </c>
      <c r="C44" s="19" t="s">
        <v>205</v>
      </c>
      <c r="D44" s="22" t="s">
        <v>204</v>
      </c>
      <c r="E44" s="19" t="s">
        <v>109</v>
      </c>
      <c r="F44" s="19" t="s">
        <v>110</v>
      </c>
      <c r="G44" s="19" t="s">
        <v>111</v>
      </c>
      <c r="H44" s="90"/>
    </row>
    <row r="45" spans="1:8" s="59" customFormat="1" ht="34" customHeight="1" x14ac:dyDescent="0.25">
      <c r="A45" s="22" t="s">
        <v>206</v>
      </c>
      <c r="B45" s="22" t="s">
        <v>206</v>
      </c>
      <c r="C45" s="19" t="s">
        <v>207</v>
      </c>
      <c r="D45" s="22" t="s">
        <v>206</v>
      </c>
      <c r="E45" s="19" t="s">
        <v>109</v>
      </c>
      <c r="F45" s="19" t="s">
        <v>110</v>
      </c>
      <c r="G45" s="19" t="s">
        <v>111</v>
      </c>
      <c r="H45" s="90"/>
    </row>
    <row r="46" spans="1:8" s="59" customFormat="1" ht="34" customHeight="1" x14ac:dyDescent="0.3">
      <c r="A46" s="22" t="s">
        <v>208</v>
      </c>
      <c r="B46" s="22" t="s">
        <v>208</v>
      </c>
      <c r="C46" s="102" t="s">
        <v>209</v>
      </c>
      <c r="D46" s="22" t="s">
        <v>208</v>
      </c>
      <c r="E46" s="20" t="s">
        <v>115</v>
      </c>
      <c r="F46" s="20" t="s">
        <v>116</v>
      </c>
      <c r="G46" s="20" t="s">
        <v>117</v>
      </c>
      <c r="H46" s="90"/>
    </row>
    <row r="47" spans="1:8" s="59" customFormat="1" ht="34" customHeight="1" x14ac:dyDescent="0.25">
      <c r="A47" s="22" t="s">
        <v>210</v>
      </c>
      <c r="B47" s="22" t="s">
        <v>210</v>
      </c>
      <c r="C47" s="19" t="s">
        <v>211</v>
      </c>
      <c r="D47" s="22" t="s">
        <v>210</v>
      </c>
      <c r="E47" s="19" t="s">
        <v>109</v>
      </c>
      <c r="F47" s="19" t="s">
        <v>110</v>
      </c>
      <c r="G47" s="19" t="s">
        <v>111</v>
      </c>
      <c r="H47" s="90"/>
    </row>
    <row r="48" spans="1:8" s="59" customFormat="1" ht="34" customHeight="1" x14ac:dyDescent="0.25">
      <c r="A48" s="22" t="s">
        <v>212</v>
      </c>
      <c r="B48" s="22" t="s">
        <v>212</v>
      </c>
      <c r="C48" s="19" t="s">
        <v>213</v>
      </c>
      <c r="D48" s="22" t="s">
        <v>212</v>
      </c>
      <c r="E48" s="19" t="s">
        <v>109</v>
      </c>
      <c r="F48" s="19" t="s">
        <v>110</v>
      </c>
      <c r="G48" s="19" t="s">
        <v>111</v>
      </c>
      <c r="H48" s="90"/>
    </row>
    <row r="49" spans="1:8" s="59" customFormat="1" ht="34" customHeight="1" x14ac:dyDescent="0.3">
      <c r="A49" s="22" t="s">
        <v>214</v>
      </c>
      <c r="B49" s="22" t="s">
        <v>214</v>
      </c>
      <c r="C49" s="102" t="s">
        <v>215</v>
      </c>
      <c r="D49" s="22" t="s">
        <v>214</v>
      </c>
      <c r="E49" s="20" t="s">
        <v>115</v>
      </c>
      <c r="F49" s="20" t="s">
        <v>116</v>
      </c>
      <c r="G49" s="20" t="s">
        <v>117</v>
      </c>
      <c r="H49" s="90"/>
    </row>
    <row r="50" spans="1:8" s="59" customFormat="1" ht="34" customHeight="1" x14ac:dyDescent="0.3">
      <c r="A50" s="22" t="s">
        <v>216</v>
      </c>
      <c r="B50" s="22" t="s">
        <v>216</v>
      </c>
      <c r="C50" s="102" t="s">
        <v>217</v>
      </c>
      <c r="D50" s="22" t="s">
        <v>216</v>
      </c>
      <c r="E50" s="20" t="s">
        <v>115</v>
      </c>
      <c r="F50" s="20" t="s">
        <v>116</v>
      </c>
      <c r="G50" s="20" t="s">
        <v>117</v>
      </c>
      <c r="H50" s="90"/>
    </row>
    <row r="51" spans="1:8" s="59" customFormat="1" ht="34" customHeight="1" x14ac:dyDescent="0.25">
      <c r="A51" s="22" t="s">
        <v>218</v>
      </c>
      <c r="B51" s="22" t="s">
        <v>218</v>
      </c>
      <c r="C51" s="19" t="s">
        <v>219</v>
      </c>
      <c r="D51" s="22" t="s">
        <v>218</v>
      </c>
      <c r="E51" s="20" t="s">
        <v>115</v>
      </c>
      <c r="F51" s="20" t="s">
        <v>116</v>
      </c>
      <c r="G51" s="20" t="s">
        <v>117</v>
      </c>
      <c r="H51" s="90"/>
    </row>
    <row r="52" spans="1:8" s="59" customFormat="1" ht="34" customHeight="1" x14ac:dyDescent="0.25">
      <c r="A52" s="22" t="s">
        <v>220</v>
      </c>
      <c r="B52" s="22" t="s">
        <v>220</v>
      </c>
      <c r="C52" s="19" t="s">
        <v>221</v>
      </c>
      <c r="D52" s="22" t="s">
        <v>220</v>
      </c>
      <c r="E52" s="20" t="s">
        <v>115</v>
      </c>
      <c r="F52" s="20" t="s">
        <v>116</v>
      </c>
      <c r="G52" s="20" t="s">
        <v>117</v>
      </c>
      <c r="H52" s="32"/>
    </row>
    <row r="53" spans="1:8" s="59" customFormat="1" ht="34" customHeight="1" x14ac:dyDescent="0.25">
      <c r="A53" s="22" t="s">
        <v>222</v>
      </c>
      <c r="B53" s="22" t="s">
        <v>222</v>
      </c>
      <c r="C53" s="19" t="s">
        <v>223</v>
      </c>
      <c r="D53" s="22" t="s">
        <v>222</v>
      </c>
      <c r="E53" s="20" t="s">
        <v>115</v>
      </c>
      <c r="F53" s="20" t="s">
        <v>116</v>
      </c>
      <c r="G53" s="20" t="s">
        <v>117</v>
      </c>
      <c r="H53" s="32"/>
    </row>
    <row r="54" spans="1:8" s="59" customFormat="1" ht="34" customHeight="1" x14ac:dyDescent="0.25">
      <c r="A54" s="22" t="s">
        <v>224</v>
      </c>
      <c r="B54" s="22" t="s">
        <v>224</v>
      </c>
      <c r="C54" s="19" t="s">
        <v>225</v>
      </c>
      <c r="D54" s="22" t="s">
        <v>224</v>
      </c>
      <c r="E54" s="19" t="s">
        <v>109</v>
      </c>
      <c r="F54" s="19" t="s">
        <v>110</v>
      </c>
      <c r="G54" s="19" t="s">
        <v>111</v>
      </c>
      <c r="H54" s="32"/>
    </row>
    <row r="55" spans="1:8" s="59" customFormat="1" ht="34" customHeight="1" x14ac:dyDescent="0.25">
      <c r="A55" s="22" t="s">
        <v>226</v>
      </c>
      <c r="B55" s="22" t="s">
        <v>226</v>
      </c>
      <c r="C55" s="19" t="s">
        <v>227</v>
      </c>
      <c r="D55" s="22" t="s">
        <v>226</v>
      </c>
      <c r="E55" s="19" t="s">
        <v>109</v>
      </c>
      <c r="F55" s="19" t="s">
        <v>110</v>
      </c>
      <c r="G55" s="19" t="s">
        <v>111</v>
      </c>
      <c r="H55" s="32"/>
    </row>
    <row r="56" spans="1:8" s="59" customFormat="1" ht="34" customHeight="1" x14ac:dyDescent="0.25">
      <c r="A56" s="22" t="s">
        <v>228</v>
      </c>
      <c r="B56" s="22" t="s">
        <v>228</v>
      </c>
      <c r="C56" s="19" t="s">
        <v>229</v>
      </c>
      <c r="D56" s="22" t="s">
        <v>228</v>
      </c>
      <c r="E56" s="19" t="s">
        <v>109</v>
      </c>
      <c r="F56" s="19" t="s">
        <v>110</v>
      </c>
      <c r="G56" s="19" t="s">
        <v>111</v>
      </c>
      <c r="H56" s="32"/>
    </row>
    <row r="57" spans="1:8" s="59" customFormat="1" ht="34" customHeight="1" x14ac:dyDescent="0.3">
      <c r="A57" s="102" t="s">
        <v>230</v>
      </c>
      <c r="B57" s="102" t="s">
        <v>230</v>
      </c>
      <c r="C57" s="19" t="s">
        <v>231</v>
      </c>
      <c r="D57" s="102" t="s">
        <v>230</v>
      </c>
      <c r="E57" s="19" t="s">
        <v>109</v>
      </c>
      <c r="F57" s="19" t="s">
        <v>110</v>
      </c>
      <c r="G57" s="19" t="s">
        <v>111</v>
      </c>
      <c r="H57" s="32"/>
    </row>
    <row r="58" spans="1:8" s="59" customFormat="1" ht="34" customHeight="1" x14ac:dyDescent="0.3">
      <c r="A58" s="102" t="s">
        <v>232</v>
      </c>
      <c r="B58" s="102" t="s">
        <v>232</v>
      </c>
      <c r="C58" s="19" t="s">
        <v>233</v>
      </c>
      <c r="D58" s="102" t="s">
        <v>232</v>
      </c>
      <c r="E58" s="19" t="s">
        <v>109</v>
      </c>
      <c r="F58" s="19" t="s">
        <v>110</v>
      </c>
      <c r="G58" s="19" t="s">
        <v>111</v>
      </c>
      <c r="H58" s="32"/>
    </row>
    <row r="59" spans="1:8" s="59" customFormat="1" ht="34" customHeight="1" x14ac:dyDescent="0.3">
      <c r="A59" s="102" t="s">
        <v>234</v>
      </c>
      <c r="B59" s="102" t="s">
        <v>234</v>
      </c>
      <c r="C59" s="19" t="s">
        <v>235</v>
      </c>
      <c r="D59" s="102" t="s">
        <v>234</v>
      </c>
      <c r="E59" s="19" t="s">
        <v>109</v>
      </c>
      <c r="F59" s="19" t="s">
        <v>110</v>
      </c>
      <c r="G59" s="19" t="s">
        <v>111</v>
      </c>
      <c r="H59" s="32"/>
    </row>
    <row r="60" spans="1:8" s="59" customFormat="1" ht="34" customHeight="1" x14ac:dyDescent="0.25">
      <c r="A60" s="84" t="s">
        <v>236</v>
      </c>
      <c r="B60" s="22" t="s">
        <v>236</v>
      </c>
      <c r="C60" s="19" t="s">
        <v>237</v>
      </c>
      <c r="D60" s="22" t="s">
        <v>236</v>
      </c>
      <c r="E60" s="19" t="s">
        <v>109</v>
      </c>
      <c r="F60" s="19" t="s">
        <v>110</v>
      </c>
      <c r="G60" s="19" t="s">
        <v>111</v>
      </c>
      <c r="H60" s="32"/>
    </row>
    <row r="61" spans="1:8" s="59" customFormat="1" ht="34" customHeight="1" x14ac:dyDescent="0.25">
      <c r="A61" s="84" t="s">
        <v>238</v>
      </c>
      <c r="B61" s="22" t="s">
        <v>238</v>
      </c>
      <c r="C61" s="19" t="s">
        <v>239</v>
      </c>
      <c r="D61" s="22" t="s">
        <v>238</v>
      </c>
      <c r="E61" s="19" t="s">
        <v>109</v>
      </c>
      <c r="F61" s="19" t="s">
        <v>110</v>
      </c>
      <c r="G61" s="19" t="s">
        <v>111</v>
      </c>
      <c r="H61" s="32"/>
    </row>
    <row r="62" spans="1:8" s="59" customFormat="1" ht="34" customHeight="1" x14ac:dyDescent="0.25">
      <c r="A62" s="84" t="s">
        <v>240</v>
      </c>
      <c r="B62" s="22" t="s">
        <v>240</v>
      </c>
      <c r="C62" s="19" t="s">
        <v>241</v>
      </c>
      <c r="D62" s="22" t="s">
        <v>240</v>
      </c>
      <c r="E62" s="19" t="s">
        <v>109</v>
      </c>
      <c r="F62" s="19" t="s">
        <v>110</v>
      </c>
      <c r="G62" s="19" t="s">
        <v>111</v>
      </c>
      <c r="H62" s="32"/>
    </row>
    <row r="63" spans="1:8" s="59" customFormat="1" ht="34" customHeight="1" x14ac:dyDescent="0.25">
      <c r="A63" s="84" t="s">
        <v>242</v>
      </c>
      <c r="B63" s="22" t="s">
        <v>242</v>
      </c>
      <c r="C63" s="19" t="s">
        <v>243</v>
      </c>
      <c r="D63" s="22" t="s">
        <v>242</v>
      </c>
      <c r="E63" s="19" t="s">
        <v>109</v>
      </c>
      <c r="F63" s="19" t="s">
        <v>110</v>
      </c>
      <c r="G63" s="19" t="s">
        <v>111</v>
      </c>
      <c r="H63" s="32"/>
    </row>
    <row r="64" spans="1:8" s="59" customFormat="1" ht="34" customHeight="1" x14ac:dyDescent="0.25">
      <c r="A64" s="84" t="s">
        <v>244</v>
      </c>
      <c r="B64" s="84" t="s">
        <v>244</v>
      </c>
      <c r="C64" s="19" t="s">
        <v>245</v>
      </c>
      <c r="D64" s="22" t="s">
        <v>244</v>
      </c>
      <c r="E64" s="19" t="s">
        <v>109</v>
      </c>
      <c r="F64" s="19" t="s">
        <v>110</v>
      </c>
      <c r="G64" s="19" t="s">
        <v>111</v>
      </c>
      <c r="H64" s="32"/>
    </row>
    <row r="65" spans="1:8" s="59" customFormat="1" ht="34" customHeight="1" x14ac:dyDescent="0.25">
      <c r="A65" s="84" t="s">
        <v>246</v>
      </c>
      <c r="B65" s="84" t="s">
        <v>246</v>
      </c>
      <c r="C65" s="19" t="s">
        <v>247</v>
      </c>
      <c r="D65" s="22" t="s">
        <v>246</v>
      </c>
      <c r="E65" s="19" t="s">
        <v>109</v>
      </c>
      <c r="F65" s="19" t="s">
        <v>110</v>
      </c>
      <c r="G65" s="19" t="s">
        <v>111</v>
      </c>
      <c r="H65" s="32"/>
    </row>
    <row r="66" spans="1:8" s="59" customFormat="1" ht="34" customHeight="1" x14ac:dyDescent="0.25">
      <c r="A66" s="84" t="s">
        <v>248</v>
      </c>
      <c r="B66" s="84" t="s">
        <v>248</v>
      </c>
      <c r="C66" s="19" t="s">
        <v>249</v>
      </c>
      <c r="D66" s="22" t="s">
        <v>248</v>
      </c>
      <c r="E66" s="19" t="s">
        <v>109</v>
      </c>
      <c r="F66" s="19" t="s">
        <v>110</v>
      </c>
      <c r="G66" s="19" t="s">
        <v>111</v>
      </c>
      <c r="H66" s="32"/>
    </row>
    <row r="67" spans="1:8" s="59" customFormat="1" ht="34" customHeight="1" x14ac:dyDescent="0.25">
      <c r="A67" s="84" t="s">
        <v>250</v>
      </c>
      <c r="B67" s="84" t="s">
        <v>250</v>
      </c>
      <c r="C67" s="19" t="s">
        <v>251</v>
      </c>
      <c r="D67" s="22" t="s">
        <v>250</v>
      </c>
      <c r="E67" s="19" t="s">
        <v>109</v>
      </c>
      <c r="F67" s="19" t="s">
        <v>110</v>
      </c>
      <c r="G67" s="19" t="s">
        <v>111</v>
      </c>
      <c r="H67" s="32"/>
    </row>
    <row r="68" spans="1:8" s="59" customFormat="1" ht="34" customHeight="1" x14ac:dyDescent="0.25">
      <c r="A68" s="84" t="s">
        <v>252</v>
      </c>
      <c r="B68" s="84" t="s">
        <v>252</v>
      </c>
      <c r="C68" s="19" t="s">
        <v>253</v>
      </c>
      <c r="D68" s="22" t="s">
        <v>252</v>
      </c>
      <c r="E68" s="19" t="s">
        <v>109</v>
      </c>
      <c r="F68" s="19" t="s">
        <v>110</v>
      </c>
      <c r="G68" s="19" t="s">
        <v>111</v>
      </c>
      <c r="H68" s="110"/>
    </row>
    <row r="69" spans="1:8" s="59" customFormat="1" ht="34" customHeight="1" x14ac:dyDescent="0.25">
      <c r="A69" s="84" t="s">
        <v>254</v>
      </c>
      <c r="B69" s="84" t="s">
        <v>254</v>
      </c>
      <c r="C69" s="19" t="s">
        <v>255</v>
      </c>
      <c r="D69" s="22" t="s">
        <v>254</v>
      </c>
      <c r="E69" s="19" t="s">
        <v>109</v>
      </c>
      <c r="F69" s="19" t="s">
        <v>110</v>
      </c>
      <c r="G69" s="19" t="s">
        <v>111</v>
      </c>
      <c r="H69" s="110"/>
    </row>
    <row r="70" spans="1:8" s="59" customFormat="1" ht="34" customHeight="1" x14ac:dyDescent="0.25">
      <c r="A70" s="84" t="s">
        <v>256</v>
      </c>
      <c r="B70" s="84" t="s">
        <v>256</v>
      </c>
      <c r="C70" s="19" t="s">
        <v>257</v>
      </c>
      <c r="D70" s="22" t="s">
        <v>256</v>
      </c>
      <c r="E70" s="19" t="s">
        <v>109</v>
      </c>
      <c r="F70" s="19" t="s">
        <v>110</v>
      </c>
      <c r="G70" s="19" t="s">
        <v>111</v>
      </c>
      <c r="H70" s="105"/>
    </row>
    <row r="71" spans="1:8" s="59" customFormat="1" ht="34" customHeight="1" x14ac:dyDescent="0.25">
      <c r="A71" s="53" t="s">
        <v>387</v>
      </c>
      <c r="B71" s="53" t="s">
        <v>387</v>
      </c>
      <c r="C71" s="48" t="s">
        <v>388</v>
      </c>
      <c r="D71" s="53" t="s">
        <v>387</v>
      </c>
      <c r="E71" s="48" t="s">
        <v>109</v>
      </c>
      <c r="F71" s="48" t="s">
        <v>110</v>
      </c>
      <c r="G71" s="48" t="s">
        <v>111</v>
      </c>
      <c r="H71" s="32"/>
    </row>
    <row r="72" spans="1:8" s="59" customFormat="1" ht="34" customHeight="1" x14ac:dyDescent="0.25">
      <c r="A72" s="84" t="s">
        <v>260</v>
      </c>
      <c r="B72" s="84" t="s">
        <v>260</v>
      </c>
      <c r="C72" s="19" t="s">
        <v>261</v>
      </c>
      <c r="D72" s="84" t="s">
        <v>260</v>
      </c>
      <c r="E72" s="19" t="s">
        <v>109</v>
      </c>
      <c r="F72" s="19" t="s">
        <v>110</v>
      </c>
      <c r="G72" s="19" t="s">
        <v>111</v>
      </c>
      <c r="H72" s="105"/>
    </row>
    <row r="73" spans="1:8" s="59" customFormat="1" ht="34" customHeight="1" x14ac:dyDescent="0.25">
      <c r="A73" s="84" t="s">
        <v>262</v>
      </c>
      <c r="B73" s="84" t="s">
        <v>262</v>
      </c>
      <c r="C73" s="19" t="s">
        <v>263</v>
      </c>
      <c r="D73" s="84" t="s">
        <v>262</v>
      </c>
      <c r="E73" s="19" t="s">
        <v>109</v>
      </c>
      <c r="F73" s="19" t="s">
        <v>110</v>
      </c>
      <c r="G73" s="19" t="s">
        <v>111</v>
      </c>
      <c r="H73" s="97"/>
    </row>
    <row r="74" spans="1:8" s="59" customFormat="1" ht="24" customHeight="1" x14ac:dyDescent="0.25">
      <c r="A74" s="84" t="s">
        <v>266</v>
      </c>
      <c r="B74" s="22" t="s">
        <v>266</v>
      </c>
      <c r="C74" s="19" t="s">
        <v>267</v>
      </c>
      <c r="D74" s="22" t="s">
        <v>266</v>
      </c>
      <c r="E74" s="20" t="s">
        <v>115</v>
      </c>
      <c r="F74" s="20" t="s">
        <v>116</v>
      </c>
      <c r="G74" s="20" t="s">
        <v>117</v>
      </c>
      <c r="H74" s="97"/>
    </row>
    <row r="75" spans="1:8" s="59" customFormat="1" ht="30" customHeight="1" x14ac:dyDescent="0.25">
      <c r="A75" s="84" t="s">
        <v>268</v>
      </c>
      <c r="B75" s="22" t="s">
        <v>268</v>
      </c>
      <c r="C75" s="19" t="s">
        <v>269</v>
      </c>
      <c r="D75" s="84" t="s">
        <v>268</v>
      </c>
      <c r="E75" s="20" t="s">
        <v>115</v>
      </c>
      <c r="F75" s="20" t="s">
        <v>116</v>
      </c>
      <c r="G75" s="20" t="s">
        <v>117</v>
      </c>
      <c r="H75" s="110"/>
    </row>
    <row r="76" spans="1:8" s="59" customFormat="1" ht="32.15" customHeight="1" x14ac:dyDescent="0.25">
      <c r="A76" s="84" t="s">
        <v>270</v>
      </c>
      <c r="B76" s="22" t="s">
        <v>270</v>
      </c>
      <c r="C76" s="19" t="s">
        <v>271</v>
      </c>
      <c r="D76" s="84" t="s">
        <v>270</v>
      </c>
      <c r="E76" s="20" t="s">
        <v>115</v>
      </c>
      <c r="F76" s="20" t="s">
        <v>116</v>
      </c>
      <c r="G76" s="20" t="s">
        <v>117</v>
      </c>
      <c r="H76" s="110"/>
    </row>
    <row r="77" spans="1:8" s="59" customFormat="1" ht="32.5" customHeight="1" x14ac:dyDescent="0.25">
      <c r="A77" s="84" t="s">
        <v>272</v>
      </c>
      <c r="B77" s="22" t="s">
        <v>272</v>
      </c>
      <c r="C77" s="19" t="s">
        <v>273</v>
      </c>
      <c r="D77" s="84" t="s">
        <v>272</v>
      </c>
      <c r="E77" s="20" t="s">
        <v>115</v>
      </c>
      <c r="F77" s="20" t="s">
        <v>116</v>
      </c>
      <c r="G77" s="20" t="s">
        <v>117</v>
      </c>
      <c r="H77" s="110"/>
    </row>
    <row r="78" spans="1:8" s="59" customFormat="1" ht="38.5" customHeight="1" x14ac:dyDescent="0.25">
      <c r="A78" s="53" t="s">
        <v>392</v>
      </c>
      <c r="B78" s="53" t="s">
        <v>392</v>
      </c>
      <c r="C78" s="48" t="s">
        <v>391</v>
      </c>
      <c r="D78" s="53" t="s">
        <v>392</v>
      </c>
      <c r="E78" s="48" t="s">
        <v>109</v>
      </c>
      <c r="F78" s="48" t="s">
        <v>110</v>
      </c>
      <c r="G78" s="48" t="s">
        <v>111</v>
      </c>
      <c r="H78" s="110"/>
    </row>
    <row r="79" spans="1:8" s="123" customFormat="1" ht="28.5" customHeight="1" x14ac:dyDescent="0.25">
      <c r="A79" s="84" t="s">
        <v>274</v>
      </c>
      <c r="B79" s="84" t="s">
        <v>274</v>
      </c>
      <c r="C79" s="19" t="s">
        <v>275</v>
      </c>
      <c r="D79" s="84" t="s">
        <v>274</v>
      </c>
      <c r="E79" s="20" t="s">
        <v>115</v>
      </c>
      <c r="F79" s="20" t="s">
        <v>116</v>
      </c>
      <c r="G79" s="20" t="s">
        <v>117</v>
      </c>
    </row>
    <row r="80" spans="1:8" s="123" customFormat="1" ht="32" customHeight="1" x14ac:dyDescent="0.25">
      <c r="A80" s="84" t="s">
        <v>276</v>
      </c>
      <c r="B80" s="84" t="s">
        <v>276</v>
      </c>
      <c r="C80" s="19" t="s">
        <v>277</v>
      </c>
      <c r="D80" s="84" t="s">
        <v>276</v>
      </c>
      <c r="E80" s="20" t="s">
        <v>115</v>
      </c>
      <c r="F80" s="20" t="s">
        <v>116</v>
      </c>
      <c r="G80" s="20" t="s">
        <v>117</v>
      </c>
    </row>
    <row r="81" spans="1:7" s="123" customFormat="1" ht="28" x14ac:dyDescent="0.25">
      <c r="A81" s="84" t="s">
        <v>278</v>
      </c>
      <c r="B81" s="84" t="s">
        <v>278</v>
      </c>
      <c r="C81" s="19" t="s">
        <v>279</v>
      </c>
      <c r="D81" s="84" t="s">
        <v>278</v>
      </c>
      <c r="E81" s="20" t="s">
        <v>115</v>
      </c>
      <c r="F81" s="20" t="s">
        <v>116</v>
      </c>
      <c r="G81" s="20" t="s">
        <v>117</v>
      </c>
    </row>
    <row r="82" spans="1:7" s="123" customFormat="1" ht="20.149999999999999" customHeight="1" x14ac:dyDescent="0.25">
      <c r="A82" s="122"/>
      <c r="B82" s="122"/>
      <c r="C82" s="27"/>
      <c r="D82" s="122"/>
      <c r="E82" s="27"/>
      <c r="F82" s="27"/>
      <c r="G82" s="27"/>
    </row>
    <row r="83" spans="1:7" s="123" customFormat="1" ht="14" hidden="1" x14ac:dyDescent="0.25">
      <c r="A83" s="122"/>
      <c r="B83" s="122"/>
      <c r="C83" s="27"/>
      <c r="D83" s="122"/>
      <c r="E83" s="27"/>
      <c r="F83" s="27"/>
      <c r="G83" s="27"/>
    </row>
    <row r="84" spans="1:7" s="123" customFormat="1" ht="14" hidden="1" x14ac:dyDescent="0.25">
      <c r="A84" s="122"/>
      <c r="B84" s="122"/>
      <c r="C84" s="27"/>
      <c r="D84" s="122"/>
      <c r="E84" s="27"/>
      <c r="F84" s="27"/>
      <c r="G84" s="27"/>
    </row>
    <row r="85" spans="1:7" s="123" customFormat="1" ht="14" hidden="1" x14ac:dyDescent="0.25">
      <c r="A85" s="122"/>
      <c r="B85" s="122"/>
      <c r="C85" s="27"/>
      <c r="D85" s="122"/>
      <c r="E85" s="27"/>
      <c r="F85" s="27"/>
      <c r="G85" s="27"/>
    </row>
    <row r="86" spans="1:7" s="124" customFormat="1" ht="14" hidden="1" x14ac:dyDescent="0.25">
      <c r="A86" s="122"/>
      <c r="B86" s="122"/>
      <c r="C86" s="27"/>
      <c r="D86" s="122"/>
      <c r="E86" s="27"/>
      <c r="F86" s="27"/>
      <c r="G86" s="27"/>
    </row>
    <row r="87" spans="1:7" s="124" customFormat="1" ht="14" hidden="1" x14ac:dyDescent="0.25">
      <c r="A87" s="122"/>
      <c r="B87" s="122"/>
      <c r="C87" s="27"/>
      <c r="D87" s="122"/>
      <c r="E87" s="27"/>
      <c r="F87" s="27"/>
      <c r="G87" s="27"/>
    </row>
    <row r="88" spans="1:7" s="124" customFormat="1" ht="14" x14ac:dyDescent="0.25">
      <c r="A88" s="122"/>
      <c r="B88" s="122"/>
      <c r="C88" s="27"/>
      <c r="D88" s="122"/>
      <c r="E88" s="27"/>
      <c r="F88" s="27"/>
      <c r="G88" s="27"/>
    </row>
    <row r="89" spans="1:7" s="124" customFormat="1" ht="14" x14ac:dyDescent="0.25">
      <c r="A89" s="122"/>
      <c r="B89" s="122"/>
      <c r="C89" s="27"/>
      <c r="D89" s="122"/>
      <c r="E89" s="27"/>
      <c r="F89" s="27"/>
      <c r="G89" s="27"/>
    </row>
    <row r="90" spans="1:7" s="124" customFormat="1" x14ac:dyDescent="0.25"/>
    <row r="91" spans="1:7" s="124" customFormat="1" x14ac:dyDescent="0.25"/>
    <row r="92" spans="1:7" s="124" customFormat="1" x14ac:dyDescent="0.25"/>
    <row r="93" spans="1:7" s="124" customFormat="1" x14ac:dyDescent="0.25"/>
    <row r="94" spans="1:7" s="124" customFormat="1" x14ac:dyDescent="0.25"/>
    <row r="95" spans="1:7" s="124" customFormat="1" x14ac:dyDescent="0.25"/>
    <row r="96" spans="1:7" s="124" customFormat="1" x14ac:dyDescent="0.25"/>
    <row r="97" spans="1:7" s="124" customFormat="1" x14ac:dyDescent="0.25"/>
    <row r="98" spans="1:7" s="124" customFormat="1" x14ac:dyDescent="0.25"/>
    <row r="99" spans="1:7" x14ac:dyDescent="0.25">
      <c r="A99" s="124"/>
      <c r="B99" s="124"/>
      <c r="C99" s="124"/>
      <c r="D99" s="124"/>
      <c r="E99" s="124"/>
      <c r="F99" s="124"/>
      <c r="G99" s="124"/>
    </row>
    <row r="100" spans="1:7" x14ac:dyDescent="0.25">
      <c r="A100" s="124"/>
      <c r="B100" s="124"/>
      <c r="C100" s="124"/>
      <c r="D100" s="124"/>
      <c r="E100" s="124"/>
      <c r="F100" s="124"/>
      <c r="G100" s="124"/>
    </row>
    <row r="101" spans="1:7" x14ac:dyDescent="0.25">
      <c r="A101" s="124"/>
      <c r="B101" s="124"/>
      <c r="C101" s="124"/>
      <c r="D101" s="124"/>
      <c r="E101" s="124"/>
      <c r="F101" s="124"/>
      <c r="G101" s="124"/>
    </row>
    <row r="102" spans="1:7" x14ac:dyDescent="0.25">
      <c r="A102" s="124"/>
      <c r="B102" s="124"/>
      <c r="C102" s="124"/>
      <c r="D102" s="124"/>
      <c r="E102" s="124"/>
      <c r="F102" s="124"/>
      <c r="G102" s="124"/>
    </row>
  </sheetData>
  <mergeCells count="1">
    <mergeCell ref="A1:U1"/>
  </mergeCell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A4C9-9E43-4C1F-9539-543526A0DF17}">
  <sheetPr codeName="Sheet21">
    <tabColor rgb="FF0070C0"/>
  </sheetPr>
  <dimension ref="A1:U7"/>
  <sheetViews>
    <sheetView workbookViewId="0">
      <selection activeCell="C7" sqref="C7"/>
    </sheetView>
  </sheetViews>
  <sheetFormatPr defaultColWidth="8.81640625" defaultRowHeight="12.5" x14ac:dyDescent="0.25"/>
  <cols>
    <col min="1" max="1" width="18" customWidth="1"/>
    <col min="2" max="2" width="34.81640625" customWidth="1"/>
    <col min="3" max="3" width="36.1796875" customWidth="1"/>
    <col min="4" max="4" width="33.453125" customWidth="1"/>
    <col min="5" max="5" width="24" customWidth="1"/>
    <col min="6" max="6" width="24.453125" customWidth="1"/>
    <col min="7" max="7" width="15.7265625" customWidth="1"/>
    <col min="8" max="8" width="31.7265625" customWidth="1"/>
    <col min="9" max="21" width="8.81640625" hidden="1" customWidth="1"/>
  </cols>
  <sheetData>
    <row r="1" spans="1:21" ht="78"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78" t="s">
        <v>89</v>
      </c>
      <c r="B2" s="78" t="s">
        <v>90</v>
      </c>
      <c r="C2" s="79" t="s">
        <v>280</v>
      </c>
      <c r="D2" s="79" t="s">
        <v>281</v>
      </c>
      <c r="E2" s="78" t="s">
        <v>282</v>
      </c>
      <c r="F2" s="78" t="s">
        <v>94</v>
      </c>
      <c r="G2" s="78" t="s">
        <v>95</v>
      </c>
      <c r="H2" s="78" t="s">
        <v>96</v>
      </c>
    </row>
    <row r="3" spans="1:21" s="26" customFormat="1" ht="25" customHeight="1" x14ac:dyDescent="0.25">
      <c r="A3" s="20" t="s">
        <v>285</v>
      </c>
      <c r="B3" s="20" t="s">
        <v>285</v>
      </c>
      <c r="C3" s="40">
        <v>260373001</v>
      </c>
      <c r="D3" s="20" t="s">
        <v>285</v>
      </c>
      <c r="E3" s="40" t="s">
        <v>286</v>
      </c>
      <c r="F3" s="40" t="s">
        <v>287</v>
      </c>
      <c r="G3" s="40" t="s">
        <v>288</v>
      </c>
      <c r="H3" s="43"/>
    </row>
    <row r="4" spans="1:21" s="26" customFormat="1" ht="25" customHeight="1" x14ac:dyDescent="0.25">
      <c r="A4" s="20" t="s">
        <v>289</v>
      </c>
      <c r="B4" s="20" t="s">
        <v>289</v>
      </c>
      <c r="C4" s="40">
        <v>260415000</v>
      </c>
      <c r="D4" s="20" t="s">
        <v>289</v>
      </c>
      <c r="E4" s="40" t="s">
        <v>286</v>
      </c>
      <c r="F4" s="40" t="s">
        <v>287</v>
      </c>
      <c r="G4" s="40" t="s">
        <v>288</v>
      </c>
      <c r="H4" s="43"/>
    </row>
    <row r="5" spans="1:21" s="26" customFormat="1" ht="25" customHeight="1" x14ac:dyDescent="0.25">
      <c r="A5" s="20" t="s">
        <v>290</v>
      </c>
      <c r="B5" s="20" t="s">
        <v>290</v>
      </c>
      <c r="C5" s="40">
        <v>280414007</v>
      </c>
      <c r="D5" s="20" t="s">
        <v>290</v>
      </c>
      <c r="E5" s="40" t="s">
        <v>286</v>
      </c>
      <c r="F5" s="40" t="s">
        <v>287</v>
      </c>
      <c r="G5" s="40" t="s">
        <v>288</v>
      </c>
      <c r="H5" s="43"/>
    </row>
    <row r="6" spans="1:21" s="26" customFormat="1" ht="25" customHeight="1" x14ac:dyDescent="0.25">
      <c r="A6" s="20" t="s">
        <v>291</v>
      </c>
      <c r="B6" s="20" t="s">
        <v>291</v>
      </c>
      <c r="C6" s="40">
        <v>419984006</v>
      </c>
      <c r="D6" s="20" t="s">
        <v>291</v>
      </c>
      <c r="E6" s="40" t="s">
        <v>286</v>
      </c>
      <c r="F6" s="40" t="s">
        <v>287</v>
      </c>
      <c r="G6" s="40" t="s">
        <v>288</v>
      </c>
      <c r="H6" s="43"/>
    </row>
    <row r="7" spans="1:21" s="26" customFormat="1" ht="25" customHeight="1" x14ac:dyDescent="0.25">
      <c r="A7" s="20" t="s">
        <v>292</v>
      </c>
      <c r="B7" s="20" t="s">
        <v>292</v>
      </c>
      <c r="C7" s="20">
        <v>373121007</v>
      </c>
      <c r="D7" s="20" t="s">
        <v>292</v>
      </c>
      <c r="E7" s="40" t="s">
        <v>286</v>
      </c>
      <c r="F7" s="40" t="s">
        <v>287</v>
      </c>
      <c r="G7" s="40" t="s">
        <v>288</v>
      </c>
      <c r="H7" s="43"/>
    </row>
  </sheetData>
  <mergeCells count="1">
    <mergeCell ref="A1:U1"/>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028F-3816-46B2-9D1D-79F516D841DE}">
  <sheetPr codeName="Sheet22">
    <tabColor rgb="FF0070C0"/>
  </sheetPr>
  <dimension ref="A1:U6"/>
  <sheetViews>
    <sheetView workbookViewId="0">
      <selection activeCell="A3" sqref="A3"/>
    </sheetView>
  </sheetViews>
  <sheetFormatPr defaultColWidth="8.81640625" defaultRowHeight="12.5" x14ac:dyDescent="0.25"/>
  <cols>
    <col min="1" max="1" width="26.81640625" customWidth="1"/>
    <col min="2" max="2" width="23.453125" customWidth="1"/>
    <col min="3" max="3" width="35.81640625" customWidth="1"/>
    <col min="4" max="4" width="36" customWidth="1"/>
    <col min="5" max="5" width="27.1796875" customWidth="1"/>
    <col min="6" max="6" width="24.453125" customWidth="1"/>
    <col min="7" max="7" width="15.7265625" customWidth="1"/>
    <col min="8" max="8" width="52.453125" customWidth="1"/>
    <col min="9" max="21" width="8.81640625" hidden="1" customWidth="1"/>
  </cols>
  <sheetData>
    <row r="1" spans="1:21" ht="79.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47" t="s">
        <v>280</v>
      </c>
      <c r="D2" s="47" t="s">
        <v>281</v>
      </c>
      <c r="E2" s="39" t="s">
        <v>282</v>
      </c>
      <c r="F2" s="39" t="s">
        <v>94</v>
      </c>
      <c r="G2" s="39" t="s">
        <v>95</v>
      </c>
      <c r="H2" s="39" t="s">
        <v>96</v>
      </c>
    </row>
    <row r="3" spans="1:21" s="26" customFormat="1" ht="25" customHeight="1" x14ac:dyDescent="0.25">
      <c r="A3" s="40" t="s">
        <v>293</v>
      </c>
      <c r="B3" s="20" t="s">
        <v>293</v>
      </c>
      <c r="C3" s="20">
        <v>122575003</v>
      </c>
      <c r="D3" s="20" t="s">
        <v>294</v>
      </c>
      <c r="E3" s="20" t="s">
        <v>295</v>
      </c>
      <c r="F3" s="20" t="s">
        <v>287</v>
      </c>
      <c r="G3" s="20" t="s">
        <v>288</v>
      </c>
      <c r="H3" s="45"/>
    </row>
    <row r="4" spans="1:21" s="26" customFormat="1" ht="25" customHeight="1" x14ac:dyDescent="0.25">
      <c r="A4" s="40" t="s">
        <v>296</v>
      </c>
      <c r="B4" s="20" t="s">
        <v>297</v>
      </c>
      <c r="C4" s="20">
        <v>119297000</v>
      </c>
      <c r="D4" s="20" t="s">
        <v>298</v>
      </c>
      <c r="E4" s="20" t="s">
        <v>295</v>
      </c>
      <c r="F4" s="20" t="s">
        <v>287</v>
      </c>
      <c r="G4" s="20" t="s">
        <v>288</v>
      </c>
      <c r="H4" s="45"/>
    </row>
    <row r="5" spans="1:21" s="26" customFormat="1" ht="25" customHeight="1" x14ac:dyDescent="0.25">
      <c r="A5" s="22" t="s">
        <v>299</v>
      </c>
      <c r="B5" s="20" t="s">
        <v>299</v>
      </c>
      <c r="C5" s="20">
        <v>119364003</v>
      </c>
      <c r="D5" s="20" t="s">
        <v>300</v>
      </c>
      <c r="E5" s="20" t="s">
        <v>295</v>
      </c>
      <c r="F5" s="20" t="s">
        <v>287</v>
      </c>
      <c r="G5" s="20" t="s">
        <v>288</v>
      </c>
      <c r="H5" s="45"/>
    </row>
    <row r="6" spans="1:21" s="26" customFormat="1" ht="25" customHeight="1" x14ac:dyDescent="0.25">
      <c r="A6" s="22" t="s">
        <v>301</v>
      </c>
      <c r="B6" s="20" t="s">
        <v>301</v>
      </c>
      <c r="C6" s="20">
        <v>119361006</v>
      </c>
      <c r="D6" s="20" t="s">
        <v>302</v>
      </c>
      <c r="E6" s="20" t="s">
        <v>295</v>
      </c>
      <c r="F6" s="20" t="s">
        <v>287</v>
      </c>
      <c r="G6" s="20" t="s">
        <v>288</v>
      </c>
      <c r="H6" s="45"/>
    </row>
  </sheetData>
  <mergeCells count="1">
    <mergeCell ref="A1:U1"/>
  </mergeCell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AE04-197F-4DE8-9846-65EA9AE47E81}">
  <sheetPr codeName="Sheet24">
    <tabColor rgb="FF0070C0"/>
  </sheetPr>
  <dimension ref="A1:U9"/>
  <sheetViews>
    <sheetView workbookViewId="0">
      <selection activeCell="A3" sqref="A3"/>
    </sheetView>
  </sheetViews>
  <sheetFormatPr defaultColWidth="8.81640625" defaultRowHeight="12.5" x14ac:dyDescent="0.25"/>
  <cols>
    <col min="1" max="1" width="16.81640625" customWidth="1"/>
    <col min="2" max="2" width="21.453125" customWidth="1"/>
    <col min="3" max="3" width="32.7265625" customWidth="1"/>
    <col min="4" max="4" width="34" customWidth="1"/>
    <col min="5" max="5" width="19.1796875" customWidth="1"/>
    <col min="6" max="6" width="28.1796875" customWidth="1"/>
    <col min="7" max="7" width="15.7265625" customWidth="1"/>
    <col min="8" max="8" width="31.7265625" customWidth="1"/>
    <col min="9" max="9" width="0.1796875" customWidth="1"/>
    <col min="10" max="10" width="8.81640625" hidden="1" customWidth="1"/>
    <col min="11" max="11" width="3.7265625" hidden="1" customWidth="1"/>
    <col min="12" max="21" width="8.81640625" hidden="1" customWidth="1"/>
  </cols>
  <sheetData>
    <row r="1" spans="1:21" ht="94.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47" t="s">
        <v>280</v>
      </c>
      <c r="D2" s="47" t="s">
        <v>281</v>
      </c>
      <c r="E2" s="39" t="s">
        <v>282</v>
      </c>
      <c r="F2" s="39" t="s">
        <v>94</v>
      </c>
      <c r="G2" s="39" t="s">
        <v>95</v>
      </c>
      <c r="H2" s="39" t="s">
        <v>96</v>
      </c>
    </row>
    <row r="3" spans="1:21" ht="30" customHeight="1" x14ac:dyDescent="0.25">
      <c r="A3" s="40" t="s">
        <v>303</v>
      </c>
      <c r="B3" s="20" t="s">
        <v>303</v>
      </c>
      <c r="C3" s="20" t="s">
        <v>303</v>
      </c>
      <c r="D3" s="40" t="s">
        <v>304</v>
      </c>
      <c r="E3" s="20" t="s">
        <v>305</v>
      </c>
      <c r="F3" s="20" t="s">
        <v>306</v>
      </c>
      <c r="G3" s="20" t="s">
        <v>307</v>
      </c>
      <c r="H3" s="128"/>
    </row>
    <row r="4" spans="1:21" ht="29.25" customHeight="1" x14ac:dyDescent="0.25">
      <c r="A4" s="121" t="s">
        <v>308</v>
      </c>
      <c r="B4" s="127" t="s">
        <v>308</v>
      </c>
      <c r="C4" s="127" t="s">
        <v>308</v>
      </c>
      <c r="D4" s="121" t="s">
        <v>309</v>
      </c>
      <c r="E4" s="127" t="s">
        <v>305</v>
      </c>
      <c r="F4" s="127" t="s">
        <v>306</v>
      </c>
      <c r="G4" s="127" t="s">
        <v>307</v>
      </c>
      <c r="H4" s="129"/>
    </row>
    <row r="5" spans="1:21" ht="34.5" customHeight="1" x14ac:dyDescent="0.25">
      <c r="A5" s="40" t="s">
        <v>310</v>
      </c>
      <c r="B5" s="20" t="s">
        <v>310</v>
      </c>
      <c r="C5" s="20" t="s">
        <v>310</v>
      </c>
      <c r="D5" s="40" t="s">
        <v>311</v>
      </c>
      <c r="E5" s="20" t="s">
        <v>305</v>
      </c>
      <c r="F5" s="20" t="s">
        <v>306</v>
      </c>
      <c r="G5" s="20" t="s">
        <v>307</v>
      </c>
      <c r="H5" s="128"/>
    </row>
    <row r="6" spans="1:21" ht="29.15" customHeight="1" x14ac:dyDescent="0.25">
      <c r="A6" s="40" t="s">
        <v>312</v>
      </c>
      <c r="B6" s="40" t="s">
        <v>312</v>
      </c>
      <c r="C6" s="40" t="s">
        <v>313</v>
      </c>
      <c r="D6" s="40" t="s">
        <v>314</v>
      </c>
      <c r="E6" s="40" t="s">
        <v>315</v>
      </c>
      <c r="F6" s="40" t="s">
        <v>316</v>
      </c>
      <c r="G6" s="40" t="s">
        <v>317</v>
      </c>
      <c r="H6" s="130" t="s">
        <v>318</v>
      </c>
    </row>
    <row r="7" spans="1:21" ht="32.25" customHeight="1" x14ac:dyDescent="0.25">
      <c r="A7" s="22" t="s">
        <v>319</v>
      </c>
      <c r="B7" s="22" t="s">
        <v>319</v>
      </c>
      <c r="C7" s="22" t="s">
        <v>319</v>
      </c>
      <c r="D7" s="22" t="s">
        <v>320</v>
      </c>
      <c r="E7" s="22" t="s">
        <v>305</v>
      </c>
      <c r="F7" s="22" t="s">
        <v>306</v>
      </c>
      <c r="G7" s="22" t="s">
        <v>307</v>
      </c>
      <c r="H7" s="22"/>
    </row>
    <row r="8" spans="1:21" ht="28" x14ac:dyDescent="0.25">
      <c r="A8" s="22" t="s">
        <v>321</v>
      </c>
      <c r="B8" s="22" t="s">
        <v>321</v>
      </c>
      <c r="C8" s="22" t="s">
        <v>321</v>
      </c>
      <c r="D8" s="22" t="s">
        <v>322</v>
      </c>
      <c r="E8" s="22" t="s">
        <v>305</v>
      </c>
      <c r="F8" s="22" t="s">
        <v>306</v>
      </c>
      <c r="G8" s="22" t="s">
        <v>307</v>
      </c>
      <c r="H8" s="131"/>
    </row>
    <row r="9" spans="1:21" ht="28" x14ac:dyDescent="0.25">
      <c r="A9" s="19" t="s">
        <v>323</v>
      </c>
      <c r="B9" s="19" t="s">
        <v>323</v>
      </c>
      <c r="C9" s="19" t="s">
        <v>323</v>
      </c>
      <c r="D9" s="22" t="s">
        <v>324</v>
      </c>
      <c r="E9" s="22" t="s">
        <v>305</v>
      </c>
      <c r="F9" s="22" t="s">
        <v>306</v>
      </c>
      <c r="G9" s="22" t="s">
        <v>307</v>
      </c>
      <c r="H9" s="19"/>
    </row>
  </sheetData>
  <mergeCells count="1">
    <mergeCell ref="A1:U1"/>
  </mergeCell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9CDD-C32C-4D82-93C9-FDE60081371F}">
  <sheetPr codeName="Sheet27">
    <tabColor rgb="FF0070C0"/>
  </sheetPr>
  <dimension ref="A1:U27"/>
  <sheetViews>
    <sheetView workbookViewId="0">
      <selection activeCell="A3" sqref="A3"/>
    </sheetView>
  </sheetViews>
  <sheetFormatPr defaultColWidth="8.81640625" defaultRowHeight="12.5" x14ac:dyDescent="0.25"/>
  <cols>
    <col min="1" max="1" width="21.453125" customWidth="1"/>
    <col min="2" max="2" width="26.1796875" customWidth="1"/>
    <col min="3" max="3" width="37.81640625" customWidth="1"/>
    <col min="4" max="4" width="38.7265625" customWidth="1"/>
    <col min="5" max="5" width="20.1796875" customWidth="1"/>
    <col min="6" max="6" width="24.453125" customWidth="1"/>
    <col min="7" max="7" width="15.7265625" customWidth="1"/>
    <col min="8" max="8" width="53.81640625" customWidth="1"/>
    <col min="9" max="9" width="0.1796875" customWidth="1"/>
    <col min="10" max="21" width="8.81640625" hidden="1" customWidth="1"/>
  </cols>
  <sheetData>
    <row r="1" spans="1:21" ht="59.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39" t="s">
        <v>280</v>
      </c>
      <c r="D2" s="39" t="s">
        <v>281</v>
      </c>
      <c r="E2" s="39" t="s">
        <v>282</v>
      </c>
      <c r="F2" s="39" t="s">
        <v>94</v>
      </c>
      <c r="G2" s="39" t="s">
        <v>95</v>
      </c>
      <c r="H2" s="39" t="s">
        <v>96</v>
      </c>
    </row>
    <row r="3" spans="1:21" s="26" customFormat="1" ht="32" customHeight="1" x14ac:dyDescent="0.25">
      <c r="A3" s="22" t="s">
        <v>325</v>
      </c>
      <c r="B3" s="22" t="s">
        <v>325</v>
      </c>
      <c r="C3" s="19" t="s">
        <v>326</v>
      </c>
      <c r="D3" s="22" t="s">
        <v>325</v>
      </c>
      <c r="E3" s="19" t="s">
        <v>327</v>
      </c>
      <c r="F3" s="19" t="s">
        <v>328</v>
      </c>
      <c r="G3" s="19" t="s">
        <v>329</v>
      </c>
      <c r="H3" s="112"/>
    </row>
    <row r="4" spans="1:21" s="26" customFormat="1" ht="25" customHeight="1" x14ac:dyDescent="0.25">
      <c r="A4" s="22" t="s">
        <v>330</v>
      </c>
      <c r="B4" s="22" t="s">
        <v>330</v>
      </c>
      <c r="C4" s="19" t="s">
        <v>331</v>
      </c>
      <c r="D4" s="22" t="s">
        <v>330</v>
      </c>
      <c r="E4" s="19" t="s">
        <v>327</v>
      </c>
      <c r="F4" s="19" t="s">
        <v>328</v>
      </c>
      <c r="G4" s="19" t="s">
        <v>329</v>
      </c>
      <c r="H4" s="112"/>
    </row>
    <row r="5" spans="1:21" s="26" customFormat="1" ht="30.5" customHeight="1" x14ac:dyDescent="0.25">
      <c r="A5" s="22" t="s">
        <v>332</v>
      </c>
      <c r="B5" s="22" t="s">
        <v>332</v>
      </c>
      <c r="C5" s="19" t="s">
        <v>333</v>
      </c>
      <c r="D5" s="22" t="s">
        <v>332</v>
      </c>
      <c r="E5" s="19" t="s">
        <v>327</v>
      </c>
      <c r="F5" s="19" t="s">
        <v>328</v>
      </c>
      <c r="G5" s="19" t="s">
        <v>329</v>
      </c>
      <c r="H5" s="112"/>
    </row>
    <row r="6" spans="1:21" s="26" customFormat="1" ht="31" customHeight="1" x14ac:dyDescent="0.25">
      <c r="A6" s="22" t="s">
        <v>334</v>
      </c>
      <c r="B6" s="22" t="s">
        <v>334</v>
      </c>
      <c r="C6" s="19" t="s">
        <v>335</v>
      </c>
      <c r="D6" s="22" t="s">
        <v>334</v>
      </c>
      <c r="E6" s="19" t="s">
        <v>327</v>
      </c>
      <c r="F6" s="19" t="s">
        <v>328</v>
      </c>
      <c r="G6" s="19" t="s">
        <v>329</v>
      </c>
      <c r="H6" s="112"/>
    </row>
    <row r="7" spans="1:21" s="26" customFormat="1" ht="25" customHeight="1" x14ac:dyDescent="0.25">
      <c r="A7" s="22" t="s">
        <v>336</v>
      </c>
      <c r="B7" s="22" t="s">
        <v>336</v>
      </c>
      <c r="C7" s="19" t="s">
        <v>337</v>
      </c>
      <c r="D7" s="22" t="s">
        <v>336</v>
      </c>
      <c r="E7" s="19" t="s">
        <v>327</v>
      </c>
      <c r="F7" s="19" t="s">
        <v>328</v>
      </c>
      <c r="G7" s="19" t="s">
        <v>329</v>
      </c>
      <c r="H7" s="112"/>
    </row>
    <row r="8" spans="1:21" s="26" customFormat="1" ht="25" customHeight="1" x14ac:dyDescent="0.25">
      <c r="A8" s="22" t="s">
        <v>338</v>
      </c>
      <c r="B8" s="22" t="s">
        <v>338</v>
      </c>
      <c r="C8" s="19" t="s">
        <v>339</v>
      </c>
      <c r="D8" s="22" t="s">
        <v>338</v>
      </c>
      <c r="E8" s="19" t="s">
        <v>327</v>
      </c>
      <c r="F8" s="19" t="s">
        <v>328</v>
      </c>
      <c r="G8" s="19" t="s">
        <v>329</v>
      </c>
      <c r="H8" s="112"/>
    </row>
    <row r="14" spans="1:21" x14ac:dyDescent="0.25">
      <c r="A14" s="56"/>
    </row>
    <row r="15" spans="1:21" x14ac:dyDescent="0.25">
      <c r="A15" s="56"/>
    </row>
    <row r="16" spans="1:21" x14ac:dyDescent="0.25">
      <c r="A16" s="56"/>
    </row>
    <row r="17" spans="1:1" x14ac:dyDescent="0.25">
      <c r="A17" s="56"/>
    </row>
    <row r="18" spans="1:1" x14ac:dyDescent="0.25">
      <c r="A18" s="56"/>
    </row>
    <row r="19" spans="1:1" x14ac:dyDescent="0.25">
      <c r="A19" s="57"/>
    </row>
    <row r="27" spans="1:1" ht="17.149999999999999" customHeight="1" x14ac:dyDescent="0.25"/>
  </sheetData>
  <mergeCells count="1">
    <mergeCell ref="A1:U1"/>
  </mergeCells>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BA7C-4D7D-49D8-916F-A1961DBC7078}">
  <sheetPr codeName="Sheet28">
    <tabColor rgb="FF0070C0"/>
  </sheetPr>
  <dimension ref="A1:U16"/>
  <sheetViews>
    <sheetView workbookViewId="0">
      <selection activeCell="C4" sqref="C4"/>
    </sheetView>
  </sheetViews>
  <sheetFormatPr defaultColWidth="8.81640625" defaultRowHeight="12.5" x14ac:dyDescent="0.25"/>
  <cols>
    <col min="1" max="1" width="19.26953125" customWidth="1"/>
    <col min="2" max="2" width="26.1796875" customWidth="1"/>
    <col min="3" max="3" width="37.81640625" customWidth="1"/>
    <col min="4" max="4" width="38.7265625" customWidth="1"/>
    <col min="5" max="5" width="20.1796875" customWidth="1"/>
    <col min="6" max="6" width="26.453125" customWidth="1"/>
    <col min="7" max="7" width="15.7265625" customWidth="1"/>
    <col min="8" max="8" width="37.81640625" customWidth="1"/>
    <col min="9" max="9" width="0.1796875" customWidth="1"/>
    <col min="10" max="21" width="8.81640625" hidden="1" customWidth="1"/>
  </cols>
  <sheetData>
    <row r="1" spans="1:21" ht="65.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18.75" customHeight="1" x14ac:dyDescent="0.25">
      <c r="A2" s="39" t="s">
        <v>89</v>
      </c>
      <c r="B2" s="39" t="s">
        <v>90</v>
      </c>
      <c r="C2" s="39" t="s">
        <v>280</v>
      </c>
      <c r="D2" s="39" t="s">
        <v>281</v>
      </c>
      <c r="E2" s="39" t="s">
        <v>282</v>
      </c>
      <c r="F2" s="39" t="s">
        <v>94</v>
      </c>
      <c r="G2" s="39" t="s">
        <v>95</v>
      </c>
      <c r="H2" s="39" t="s">
        <v>96</v>
      </c>
    </row>
    <row r="3" spans="1:21" s="26" customFormat="1" ht="25" customHeight="1" x14ac:dyDescent="0.25">
      <c r="A3" s="22" t="s">
        <v>340</v>
      </c>
      <c r="B3" s="22" t="s">
        <v>340</v>
      </c>
      <c r="C3" s="19" t="s">
        <v>341</v>
      </c>
      <c r="D3" s="22" t="s">
        <v>340</v>
      </c>
      <c r="E3" s="19" t="s">
        <v>342</v>
      </c>
      <c r="F3" s="19" t="s">
        <v>328</v>
      </c>
      <c r="G3" s="19" t="s">
        <v>329</v>
      </c>
      <c r="H3" s="125"/>
    </row>
    <row r="4" spans="1:21" s="26" customFormat="1" ht="25" customHeight="1" x14ac:dyDescent="0.25">
      <c r="A4" s="22" t="s">
        <v>343</v>
      </c>
      <c r="B4" s="22" t="s">
        <v>343</v>
      </c>
      <c r="C4" s="19" t="s">
        <v>344</v>
      </c>
      <c r="D4" s="22" t="s">
        <v>343</v>
      </c>
      <c r="E4" s="19" t="s">
        <v>342</v>
      </c>
      <c r="F4" s="19" t="s">
        <v>328</v>
      </c>
      <c r="G4" s="19" t="s">
        <v>329</v>
      </c>
      <c r="H4" s="125"/>
    </row>
    <row r="5" spans="1:21" s="26" customFormat="1" ht="25" customHeight="1" x14ac:dyDescent="0.25">
      <c r="A5" s="22" t="s">
        <v>345</v>
      </c>
      <c r="B5" s="22" t="s">
        <v>345</v>
      </c>
      <c r="C5" s="19" t="s">
        <v>346</v>
      </c>
      <c r="D5" s="22" t="s">
        <v>345</v>
      </c>
      <c r="E5" s="19" t="s">
        <v>342</v>
      </c>
      <c r="F5" s="19" t="s">
        <v>328</v>
      </c>
      <c r="G5" s="19" t="s">
        <v>329</v>
      </c>
      <c r="H5" s="125"/>
    </row>
    <row r="11" spans="1:21" x14ac:dyDescent="0.25">
      <c r="A11" s="56"/>
    </row>
    <row r="12" spans="1:21" x14ac:dyDescent="0.25">
      <c r="A12" s="56"/>
    </row>
    <row r="13" spans="1:21" x14ac:dyDescent="0.25">
      <c r="A13" s="57"/>
    </row>
    <row r="14" spans="1:21" x14ac:dyDescent="0.25">
      <c r="A14" s="56"/>
    </row>
    <row r="15" spans="1:21" x14ac:dyDescent="0.25">
      <c r="A15" s="56"/>
    </row>
    <row r="16" spans="1:21" x14ac:dyDescent="0.25">
      <c r="A16" s="57"/>
    </row>
  </sheetData>
  <mergeCells count="1">
    <mergeCell ref="A1:U1"/>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6F7D-65C4-468A-ABC4-4FC1A983F5BF}">
  <sheetPr codeName="Sheet29">
    <tabColor rgb="FF0070C0"/>
  </sheetPr>
  <dimension ref="A1:U14"/>
  <sheetViews>
    <sheetView zoomScale="90" zoomScaleNormal="90" workbookViewId="0">
      <selection activeCell="A4" sqref="A4"/>
    </sheetView>
  </sheetViews>
  <sheetFormatPr defaultColWidth="8.81640625" defaultRowHeight="12.5" outlineLevelRow="1" x14ac:dyDescent="0.25"/>
  <cols>
    <col min="1" max="1" width="13.453125" customWidth="1"/>
    <col min="2" max="2" width="17.1796875" customWidth="1"/>
    <col min="3" max="3" width="20.26953125" customWidth="1"/>
    <col min="4" max="4" width="34.81640625" customWidth="1"/>
    <col min="5" max="5" width="35.1796875" customWidth="1"/>
    <col min="6" max="6" width="14.453125" customWidth="1"/>
    <col min="7" max="7" width="24.7265625" customWidth="1"/>
    <col min="8" max="8" width="16.1796875" customWidth="1"/>
    <col min="9" max="9" width="0.1796875" hidden="1" customWidth="1"/>
    <col min="10" max="10" width="47.1796875" customWidth="1"/>
    <col min="11" max="20" width="8.81640625" hidden="1" customWidth="1"/>
    <col min="21" max="21" width="1.54296875" hidden="1" customWidth="1"/>
  </cols>
  <sheetData>
    <row r="1" spans="1:21" ht="52.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28.5" customHeight="1" x14ac:dyDescent="0.25">
      <c r="A2" s="58" t="s">
        <v>13</v>
      </c>
      <c r="B2" s="39" t="s">
        <v>89</v>
      </c>
      <c r="C2" s="39" t="s">
        <v>90</v>
      </c>
      <c r="D2" s="39" t="s">
        <v>280</v>
      </c>
      <c r="E2" s="39" t="s">
        <v>281</v>
      </c>
      <c r="F2" s="39" t="s">
        <v>282</v>
      </c>
      <c r="G2" s="39" t="s">
        <v>94</v>
      </c>
      <c r="H2" s="39" t="s">
        <v>95</v>
      </c>
      <c r="I2" s="49"/>
      <c r="J2" s="39" t="s">
        <v>96</v>
      </c>
    </row>
    <row r="3" spans="1:21" s="23" customFormat="1" ht="70" outlineLevel="1" x14ac:dyDescent="0.25">
      <c r="A3" s="19" t="s">
        <v>79</v>
      </c>
      <c r="B3" s="22" t="s">
        <v>347</v>
      </c>
      <c r="C3" s="19" t="s">
        <v>347</v>
      </c>
      <c r="D3" s="19" t="s">
        <v>348</v>
      </c>
      <c r="E3" s="19" t="s">
        <v>347</v>
      </c>
      <c r="F3" s="19" t="s">
        <v>115</v>
      </c>
      <c r="G3" s="19" t="s">
        <v>116</v>
      </c>
      <c r="H3" s="19" t="s">
        <v>117</v>
      </c>
      <c r="I3" s="34"/>
      <c r="J3" s="132" t="s">
        <v>349</v>
      </c>
      <c r="K3" s="20" t="s">
        <v>350</v>
      </c>
      <c r="L3" s="20" t="s">
        <v>351</v>
      </c>
      <c r="M3" s="20" t="s">
        <v>352</v>
      </c>
      <c r="N3" s="20" t="s">
        <v>353</v>
      </c>
      <c r="O3" s="20" t="s">
        <v>353</v>
      </c>
      <c r="P3" s="20" t="b">
        <v>1</v>
      </c>
      <c r="Q3" s="133"/>
      <c r="R3" s="133"/>
    </row>
    <row r="9" spans="1:21" ht="13" x14ac:dyDescent="0.25">
      <c r="A9" s="63"/>
    </row>
    <row r="10" spans="1:21" x14ac:dyDescent="0.25">
      <c r="A10" s="56"/>
    </row>
    <row r="11" spans="1:21" x14ac:dyDescent="0.25">
      <c r="A11" s="57"/>
    </row>
    <row r="12" spans="1:21" x14ac:dyDescent="0.25">
      <c r="A12" s="56"/>
    </row>
    <row r="13" spans="1:21" ht="14" x14ac:dyDescent="0.25">
      <c r="A13" s="64"/>
    </row>
    <row r="14" spans="1:21" x14ac:dyDescent="0.25">
      <c r="A14" s="57"/>
    </row>
  </sheetData>
  <mergeCells count="1">
    <mergeCell ref="A1:U1"/>
  </mergeCell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FD78-AC93-4608-9DB0-D64231B0A4D2}">
  <sheetPr codeName="Sheet30">
    <tabColor rgb="FF0070C0"/>
  </sheetPr>
  <dimension ref="A1:U18"/>
  <sheetViews>
    <sheetView zoomScale="90" zoomScaleNormal="90" workbookViewId="0">
      <selection activeCell="A3" sqref="A3"/>
    </sheetView>
  </sheetViews>
  <sheetFormatPr defaultColWidth="8.81640625" defaultRowHeight="12.5" outlineLevelRow="1" x14ac:dyDescent="0.25"/>
  <cols>
    <col min="1" max="1" width="14.54296875" customWidth="1"/>
    <col min="2" max="2" width="22.81640625" customWidth="1"/>
    <col min="3" max="3" width="35.54296875" customWidth="1"/>
    <col min="4" max="4" width="36.1796875" customWidth="1"/>
    <col min="5" max="5" width="35.1796875" customWidth="1"/>
    <col min="6" max="6" width="28" customWidth="1"/>
    <col min="7" max="7" width="24.54296875" customWidth="1"/>
    <col min="8" max="8" width="41" customWidth="1"/>
    <col min="9" max="9" width="18.54296875" hidden="1" customWidth="1"/>
    <col min="10" max="10" width="6.7265625" hidden="1" customWidth="1"/>
    <col min="11" max="20" width="8.81640625" hidden="1" customWidth="1"/>
    <col min="21" max="21" width="8.54296875" hidden="1" customWidth="1"/>
  </cols>
  <sheetData>
    <row r="1" spans="1:21" ht="52.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ht="28.5" customHeight="1" x14ac:dyDescent="0.25">
      <c r="A2" s="39" t="s">
        <v>89</v>
      </c>
      <c r="B2" s="39" t="s">
        <v>90</v>
      </c>
      <c r="C2" s="39" t="s">
        <v>280</v>
      </c>
      <c r="D2" s="39" t="s">
        <v>281</v>
      </c>
      <c r="E2" s="39" t="s">
        <v>282</v>
      </c>
      <c r="F2" s="39" t="s">
        <v>94</v>
      </c>
      <c r="G2" s="39" t="s">
        <v>95</v>
      </c>
      <c r="H2" s="39" t="s">
        <v>96</v>
      </c>
      <c r="I2" s="39" t="s">
        <v>96</v>
      </c>
    </row>
    <row r="3" spans="1:21" s="23" customFormat="1" ht="27.65" customHeight="1" outlineLevel="1" x14ac:dyDescent="0.25">
      <c r="A3" s="22" t="s">
        <v>354</v>
      </c>
      <c r="B3" s="22" t="s">
        <v>354</v>
      </c>
      <c r="C3" s="22" t="s">
        <v>355</v>
      </c>
      <c r="D3" s="22" t="s">
        <v>354</v>
      </c>
      <c r="E3" s="22" t="s">
        <v>356</v>
      </c>
      <c r="F3" s="19" t="s">
        <v>357</v>
      </c>
      <c r="G3" s="19" t="s">
        <v>358</v>
      </c>
      <c r="H3" s="115"/>
      <c r="I3" s="65"/>
      <c r="J3" s="20"/>
      <c r="K3" s="20" t="s">
        <v>351</v>
      </c>
      <c r="L3" s="20" t="s">
        <v>352</v>
      </c>
      <c r="M3" s="20" t="s">
        <v>353</v>
      </c>
      <c r="N3" s="20" t="s">
        <v>353</v>
      </c>
      <c r="O3" s="20" t="b">
        <v>1</v>
      </c>
      <c r="P3" s="46"/>
      <c r="Q3" s="46"/>
    </row>
    <row r="4" spans="1:21" s="26" customFormat="1" ht="27" customHeight="1" x14ac:dyDescent="0.25">
      <c r="A4" s="22" t="s">
        <v>359</v>
      </c>
      <c r="B4" s="22" t="s">
        <v>359</v>
      </c>
      <c r="C4" s="22" t="s">
        <v>360</v>
      </c>
      <c r="D4" s="22" t="s">
        <v>359</v>
      </c>
      <c r="E4" s="22" t="s">
        <v>356</v>
      </c>
      <c r="F4" s="19" t="s">
        <v>357</v>
      </c>
      <c r="G4" s="19" t="s">
        <v>358</v>
      </c>
      <c r="H4" s="115"/>
      <c r="I4" s="65"/>
    </row>
    <row r="5" spans="1:21" s="26" customFormat="1" ht="32.15" customHeight="1" x14ac:dyDescent="0.25">
      <c r="A5" s="22" t="s">
        <v>361</v>
      </c>
      <c r="B5" s="22" t="s">
        <v>361</v>
      </c>
      <c r="C5" s="22" t="s">
        <v>362</v>
      </c>
      <c r="D5" s="22" t="s">
        <v>361</v>
      </c>
      <c r="E5" s="22" t="s">
        <v>356</v>
      </c>
      <c r="F5" s="19" t="s">
        <v>357</v>
      </c>
      <c r="G5" s="19" t="s">
        <v>358</v>
      </c>
      <c r="H5" s="115"/>
      <c r="I5" s="65"/>
    </row>
    <row r="6" spans="1:21" s="26" customFormat="1" ht="29.15" customHeight="1" x14ac:dyDescent="0.25">
      <c r="A6" s="22" t="s">
        <v>363</v>
      </c>
      <c r="B6" s="22" t="s">
        <v>363</v>
      </c>
      <c r="C6" s="22" t="s">
        <v>364</v>
      </c>
      <c r="D6" s="22" t="s">
        <v>363</v>
      </c>
      <c r="E6" s="22" t="s">
        <v>356</v>
      </c>
      <c r="F6" s="19" t="s">
        <v>357</v>
      </c>
      <c r="G6" s="19" t="s">
        <v>358</v>
      </c>
      <c r="H6" s="115"/>
      <c r="I6" s="65"/>
    </row>
    <row r="7" spans="1:21" s="26" customFormat="1" ht="29.5" customHeight="1" x14ac:dyDescent="0.25">
      <c r="A7" s="113"/>
      <c r="B7" s="59"/>
      <c r="C7" s="59"/>
      <c r="D7" s="59"/>
      <c r="E7" s="59"/>
      <c r="F7" s="59"/>
      <c r="G7" s="59"/>
      <c r="H7" s="59"/>
      <c r="I7"/>
      <c r="J7"/>
    </row>
    <row r="13" spans="1:21" ht="13" x14ac:dyDescent="0.25">
      <c r="A13" s="63"/>
    </row>
    <row r="14" spans="1:21" x14ac:dyDescent="0.25">
      <c r="A14" s="56"/>
    </row>
    <row r="15" spans="1:21" x14ac:dyDescent="0.25">
      <c r="A15" s="57"/>
    </row>
    <row r="16" spans="1:21" x14ac:dyDescent="0.25">
      <c r="A16" s="56"/>
    </row>
    <row r="17" spans="1:1" ht="14" x14ac:dyDescent="0.25">
      <c r="A17" s="64"/>
    </row>
    <row r="18" spans="1:1" x14ac:dyDescent="0.25">
      <c r="A18" s="57"/>
    </row>
  </sheetData>
  <mergeCells count="1">
    <mergeCell ref="A1:U1"/>
  </mergeCells>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075C-468A-44D8-9DB6-91394F3D5BB6}">
  <sheetPr codeName="Sheet33">
    <tabColor rgb="FF0070C0"/>
  </sheetPr>
  <dimension ref="A1:U15"/>
  <sheetViews>
    <sheetView workbookViewId="0">
      <selection activeCell="A5" sqref="A5"/>
    </sheetView>
  </sheetViews>
  <sheetFormatPr defaultColWidth="8.81640625" defaultRowHeight="12.5" outlineLevelRow="1" x14ac:dyDescent="0.25"/>
  <cols>
    <col min="1" max="1" width="20.54296875" customWidth="1"/>
    <col min="2" max="2" width="22.54296875" customWidth="1"/>
    <col min="3" max="3" width="27.54296875" customWidth="1"/>
    <col min="4" max="4" width="36.1796875" customWidth="1"/>
    <col min="5" max="5" width="34.1796875" customWidth="1"/>
    <col min="6" max="6" width="22.81640625" customWidth="1"/>
    <col min="7" max="7" width="28.81640625" customWidth="1"/>
    <col min="8" max="8" width="18.26953125" customWidth="1"/>
    <col min="9" max="9" width="0.1796875" customWidth="1"/>
    <col min="10" max="10" width="34.453125" customWidth="1"/>
    <col min="11" max="20" width="8.81640625" hidden="1" customWidth="1"/>
    <col min="21" max="21" width="8.54296875" hidden="1" customWidth="1"/>
  </cols>
  <sheetData>
    <row r="1" spans="1:21" ht="55.5" customHeight="1" x14ac:dyDescent="0.25">
      <c r="A1" s="142" t="s">
        <v>7</v>
      </c>
      <c r="B1" s="142"/>
      <c r="C1" s="142"/>
      <c r="D1" s="142"/>
      <c r="E1" s="142"/>
      <c r="F1" s="142"/>
      <c r="G1" s="142"/>
      <c r="H1" s="142"/>
      <c r="I1" s="142"/>
      <c r="J1" s="142"/>
      <c r="K1" s="142"/>
      <c r="L1" s="142"/>
      <c r="M1" s="142"/>
      <c r="N1" s="142"/>
      <c r="O1" s="142"/>
      <c r="P1" s="142"/>
      <c r="Q1" s="142"/>
      <c r="R1" s="142"/>
      <c r="S1" s="142"/>
      <c r="T1" s="142"/>
      <c r="U1" s="142"/>
    </row>
    <row r="2" spans="1:21" s="18" customFormat="1" ht="26.15" hidden="1" customHeight="1" outlineLevel="1" x14ac:dyDescent="0.25">
      <c r="A2" s="53" t="s">
        <v>366</v>
      </c>
      <c r="B2" s="53" t="s">
        <v>366</v>
      </c>
      <c r="C2" s="53" t="s">
        <v>366</v>
      </c>
      <c r="D2" s="48" t="s">
        <v>367</v>
      </c>
      <c r="E2" s="53" t="s">
        <v>366</v>
      </c>
      <c r="F2" s="48" t="s">
        <v>115</v>
      </c>
      <c r="G2" s="48" t="s">
        <v>116</v>
      </c>
      <c r="H2" s="48" t="s">
        <v>117</v>
      </c>
      <c r="I2" s="54"/>
      <c r="J2" s="62"/>
      <c r="K2" s="19" t="s">
        <v>350</v>
      </c>
      <c r="L2" s="19" t="s">
        <v>351</v>
      </c>
      <c r="M2" s="19" t="s">
        <v>352</v>
      </c>
      <c r="N2" s="19" t="s">
        <v>353</v>
      </c>
      <c r="O2" s="19" t="s">
        <v>353</v>
      </c>
      <c r="P2" s="19" t="b">
        <v>1</v>
      </c>
      <c r="Q2" s="30"/>
      <c r="R2" s="30"/>
      <c r="S2" s="27"/>
    </row>
    <row r="3" spans="1:21" s="18" customFormat="1" ht="10" hidden="1" customHeight="1" outlineLevel="1" x14ac:dyDescent="0.25">
      <c r="A3" s="60"/>
      <c r="B3" s="61"/>
      <c r="C3" s="60"/>
      <c r="D3" s="60"/>
      <c r="E3" s="60"/>
      <c r="F3" s="60"/>
      <c r="G3" s="60"/>
      <c r="H3" s="60"/>
      <c r="I3" s="29"/>
      <c r="J3" s="60"/>
      <c r="K3" s="27"/>
      <c r="L3" s="27"/>
      <c r="M3" s="27"/>
      <c r="N3" s="27"/>
      <c r="O3" s="27"/>
      <c r="P3" s="27"/>
      <c r="Q3" s="30"/>
      <c r="R3" s="30"/>
      <c r="S3" s="27"/>
    </row>
    <row r="4" spans="1:21" ht="28.5" customHeight="1" collapsed="1" x14ac:dyDescent="0.25">
      <c r="A4" s="58" t="s">
        <v>368</v>
      </c>
      <c r="B4" s="39" t="s">
        <v>89</v>
      </c>
      <c r="C4" s="39" t="s">
        <v>90</v>
      </c>
      <c r="D4" s="39" t="s">
        <v>280</v>
      </c>
      <c r="E4" s="39" t="s">
        <v>281</v>
      </c>
      <c r="F4" s="39" t="s">
        <v>282</v>
      </c>
      <c r="G4" s="39" t="s">
        <v>94</v>
      </c>
      <c r="H4" s="39" t="s">
        <v>95</v>
      </c>
      <c r="I4" s="49"/>
      <c r="J4" s="39" t="s">
        <v>96</v>
      </c>
    </row>
    <row r="5" spans="1:21" s="26" customFormat="1" ht="39.65" customHeight="1" x14ac:dyDescent="0.25">
      <c r="A5" s="111"/>
      <c r="B5" s="22" t="s">
        <v>369</v>
      </c>
      <c r="C5" s="22" t="s">
        <v>369</v>
      </c>
      <c r="D5" s="126" t="s">
        <v>370</v>
      </c>
      <c r="E5" s="22" t="s">
        <v>369</v>
      </c>
      <c r="F5" s="19" t="s">
        <v>371</v>
      </c>
      <c r="G5" s="19" t="s">
        <v>372</v>
      </c>
      <c r="H5" s="19" t="s">
        <v>373</v>
      </c>
      <c r="I5" s="114"/>
      <c r="J5" s="115"/>
    </row>
    <row r="7" spans="1:21" ht="28.5" customHeight="1" x14ac:dyDescent="0.25">
      <c r="A7" s="58" t="s">
        <v>374</v>
      </c>
      <c r="B7" s="39" t="s">
        <v>89</v>
      </c>
      <c r="C7" s="39" t="s">
        <v>90</v>
      </c>
      <c r="D7" s="39" t="s">
        <v>280</v>
      </c>
      <c r="E7" s="39" t="s">
        <v>281</v>
      </c>
      <c r="F7" s="39" t="s">
        <v>282</v>
      </c>
      <c r="G7" s="39" t="s">
        <v>94</v>
      </c>
      <c r="H7" s="39" t="s">
        <v>375</v>
      </c>
      <c r="I7" s="49"/>
      <c r="J7" s="39" t="s">
        <v>96</v>
      </c>
    </row>
    <row r="8" spans="1:21" s="26" customFormat="1" ht="39.65" customHeight="1" x14ac:dyDescent="0.25">
      <c r="A8" s="111"/>
      <c r="B8" s="22" t="s">
        <v>376</v>
      </c>
      <c r="C8" s="22" t="s">
        <v>376</v>
      </c>
      <c r="D8" s="126" t="s">
        <v>377</v>
      </c>
      <c r="E8" s="22" t="s">
        <v>376</v>
      </c>
      <c r="F8" s="19" t="s">
        <v>378</v>
      </c>
      <c r="G8" s="19" t="s">
        <v>379</v>
      </c>
      <c r="H8" s="19" t="s">
        <v>380</v>
      </c>
      <c r="I8" s="114"/>
      <c r="J8" s="115"/>
    </row>
    <row r="9" spans="1:21" s="26" customFormat="1" ht="39.65" customHeight="1" x14ac:dyDescent="0.25">
      <c r="A9" s="111"/>
      <c r="B9" s="22" t="s">
        <v>381</v>
      </c>
      <c r="C9" s="22" t="s">
        <v>381</v>
      </c>
      <c r="D9" s="126" t="s">
        <v>382</v>
      </c>
      <c r="E9" s="22" t="s">
        <v>381</v>
      </c>
      <c r="F9" s="19" t="s">
        <v>378</v>
      </c>
      <c r="G9" s="19" t="s">
        <v>379</v>
      </c>
      <c r="H9" s="19" t="s">
        <v>380</v>
      </c>
      <c r="I9" s="114"/>
      <c r="J9" s="115"/>
    </row>
    <row r="10" spans="1:21" s="26" customFormat="1" ht="39.65" customHeight="1" x14ac:dyDescent="0.25">
      <c r="A10" s="111"/>
      <c r="B10" s="22" t="s">
        <v>345</v>
      </c>
      <c r="C10" s="22" t="s">
        <v>345</v>
      </c>
      <c r="D10" s="126" t="s">
        <v>346</v>
      </c>
      <c r="E10" s="22" t="s">
        <v>345</v>
      </c>
      <c r="F10" s="19" t="s">
        <v>365</v>
      </c>
      <c r="G10" s="19" t="s">
        <v>379</v>
      </c>
      <c r="H10" s="19" t="s">
        <v>317</v>
      </c>
      <c r="I10" s="114"/>
      <c r="J10" s="115"/>
    </row>
    <row r="11" spans="1:21" x14ac:dyDescent="0.25">
      <c r="A11" s="56"/>
    </row>
    <row r="12" spans="1:21" x14ac:dyDescent="0.25">
      <c r="A12" s="56"/>
    </row>
    <row r="13" spans="1:21" x14ac:dyDescent="0.25">
      <c r="A13" s="56"/>
    </row>
    <row r="14" spans="1:21" x14ac:dyDescent="0.25">
      <c r="A14" s="57"/>
    </row>
    <row r="15" spans="1:21" x14ac:dyDescent="0.25">
      <c r="A15" s="59"/>
    </row>
  </sheetData>
  <mergeCells count="1">
    <mergeCell ref="A1:U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01A6A0E584B459F24778412666FA4" ma:contentTypeVersion="14" ma:contentTypeDescription="Create a new document." ma:contentTypeScope="" ma:versionID="7d64527966fca3195e968f0314e77be4">
  <xsd:schema xmlns:xsd="http://www.w3.org/2001/XMLSchema" xmlns:xs="http://www.w3.org/2001/XMLSchema" xmlns:p="http://schemas.microsoft.com/office/2006/metadata/properties" xmlns:ns2="7c1011ce-e636-4f83-843e-bead2a65c087" xmlns:ns3="4aa4112c-b353-49ed-909a-179480156709" targetNamespace="http://schemas.microsoft.com/office/2006/metadata/properties" ma:root="true" ma:fieldsID="e5e5029faa64e7397604f19cee34636f" ns2:_="" ns3:_="">
    <xsd:import namespace="7c1011ce-e636-4f83-843e-bead2a65c087"/>
    <xsd:import namespace="4aa4112c-b353-49ed-909a-1794801567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1011ce-e636-4f83-843e-bead2a65c0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a4112c-b353-49ed-909a-1794801567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fcf38c7-09e5-4967-b541-25ad92df789a}" ma:internalName="TaxCatchAll" ma:showField="CatchAllData" ma:web="4aa4112c-b353-49ed-909a-179480156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c1011ce-e636-4f83-843e-bead2a65c087">
      <Terms xmlns="http://schemas.microsoft.com/office/infopath/2007/PartnerControls"/>
    </lcf76f155ced4ddcb4097134ff3c332f>
    <TaxCatchAll xmlns="4aa4112c-b353-49ed-909a-17948015670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31CDE8-144F-4DE7-B884-606F3F29C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1011ce-e636-4f83-843e-bead2a65c087"/>
    <ds:schemaRef ds:uri="4aa4112c-b353-49ed-909a-1794801567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982866-A9E2-45B5-B492-0167C43D202F}">
  <ds:schemaRefs>
    <ds:schemaRef ds:uri="http://schemas.microsoft.com/office/2006/metadata/properties"/>
    <ds:schemaRef ds:uri="http://schemas.microsoft.com/office/infopath/2007/PartnerControls"/>
    <ds:schemaRef ds:uri="7c1011ce-e636-4f83-843e-bead2a65c087"/>
    <ds:schemaRef ds:uri="4aa4112c-b353-49ed-909a-179480156709"/>
  </ds:schemaRefs>
</ds:datastoreItem>
</file>

<file path=customXml/itemProps3.xml><?xml version="1.0" encoding="utf-8"?>
<ds:datastoreItem xmlns:ds="http://schemas.openxmlformats.org/officeDocument/2006/customXml" ds:itemID="{865A2ACA-9859-4FCC-AAF8-B1A870F800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Old Version Log</vt:lpstr>
      <vt:lpstr>What's New-Version Log</vt:lpstr>
      <vt:lpstr>Reportable Data Fields</vt:lpstr>
      <vt:lpstr>Benzodiazepines</vt:lpstr>
      <vt:lpstr>Cannabinoids</vt:lpstr>
      <vt:lpstr>Novel Stimulants&amp;Hallucinogens</vt:lpstr>
      <vt:lpstr>Opioids</vt:lpstr>
      <vt:lpstr>OtherSubstances</vt:lpstr>
      <vt:lpstr>Stimulants</vt:lpstr>
      <vt:lpstr>ActivityType_OBR-31</vt:lpstr>
      <vt:lpstr>Class_OBR-4.1</vt:lpstr>
      <vt:lpstr>SpeSub(RelMet)-OBX-3.1</vt:lpstr>
      <vt:lpstr>SampleResults-OBX-5.1</vt:lpstr>
      <vt:lpstr>SampleMatrix-SPM-4.1</vt:lpstr>
      <vt:lpstr>InstrumentType-OBX-17.1</vt:lpstr>
      <vt:lpstr>PatientRace_PID-10</vt:lpstr>
      <vt:lpstr>PatientEthnicity_PID-22</vt:lpstr>
      <vt:lpstr>PatientAge_OBX-5</vt:lpstr>
      <vt:lpstr>AgeUnit_OBX-6</vt:lpstr>
      <vt:lpstr>EPI_Data</vt:lpstr>
    </vt:vector>
  </TitlesOfParts>
  <Manager/>
  <Company>ITSO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LRN-C Test Configuration Requirements</dc:title>
  <dc:subject>LIMS Integration Project</dc:subject>
  <dc:creator>Heather Yarde</dc:creator>
  <cp:keywords/>
  <dc:description/>
  <cp:lastModifiedBy>White, Pamela T. (CDC/OD/OLSR/DLS) (CTR)</cp:lastModifiedBy>
  <cp:revision/>
  <dcterms:created xsi:type="dcterms:W3CDTF">2007-07-09T18:01:00Z</dcterms:created>
  <dcterms:modified xsi:type="dcterms:W3CDTF">2025-02-03T16:40:51Z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2021-02-24T17:59:07Z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54ecbd57-cf77-4ecd-aa79-51d002df11a9</vt:lpwstr>
  </property>
  <property fmtid="{D5CDD505-2E9C-101B-9397-08002B2CF9AE}" pid="8" name="MSIP_Label_7b94a7b8-f06c-4dfe-bdcc-9b548fd58c31_ContentBits">
    <vt:lpwstr>0</vt:lpwstr>
  </property>
  <property fmtid="{D5CDD505-2E9C-101B-9397-08002B2CF9AE}" pid="9" name="ContentTypeId">
    <vt:lpwstr>0x01010052B01A6A0E584B459F24778412666FA4</vt:lpwstr>
  </property>
  <property fmtid="{D5CDD505-2E9C-101B-9397-08002B2CF9AE}" pid="10" name="MediaServiceImageTags">
    <vt:lpwstr/>
  </property>
</Properties>
</file>